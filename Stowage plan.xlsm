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delete.png" ContentType="image/.PNG"/>
  <Override PartName="/customUI/images/pallet.png" ContentType="image/.PNG"/>
  <Override PartName="/customUI/images/check.png" ContentType="image/.PNG"/>
  <Override PartName="/customUI/images/cargo.png" ContentType="image/.PNG"/>
  <Override PartName="/customUI/images/show.png" ContentType="image/.PNG"/>
  <Override PartName="/customUI/images/eraser.png" ContentType="image/.PNG"/>
  <Override PartName="/customUI/images/checklist.png" ContentType="image/.PNG"/>
  <Override PartName="/customUI/images/backup.png" ContentType="image/.PNG"/>
  <Override PartName="/customUI/images/hide.png" ContentType="image/.PNG"/>
  <Override PartName="/customUI/images/info.png" ContentType="image/.PNG"/>
  <Override PartName="/customUI/images/box.png" ContentType="image/.PNG"/>
  <Override PartName="/customUI/images/clos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60580151ee44423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F8DA4941-A25A-4E7F-880C-AB099CB3E4D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 Plan" sheetId="53" r:id="rId1"/>
    <sheet name="Main Deck" sheetId="54" r:id="rId2"/>
    <sheet name="Panel Plan" sheetId="55" r:id="rId3"/>
    <sheet name="Hatch Summary" sheetId="58" r:id="rId4"/>
    <sheet name="Ramps Arrangement" sheetId="56" r:id="rId5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'Stowage Plan'!$AA$131:$BX$139</definedName>
    <definedName name="DECK10">'Stowage Plan'!$B$47:$CW$55</definedName>
    <definedName name="DECK11">'Stowage Plan'!$B$38:$CW$46</definedName>
    <definedName name="DECK12">'Stowage Plan'!$B$29:$BS$37</definedName>
    <definedName name="DECK2">'Stowage Plan'!$AA$122:$BX$130</definedName>
    <definedName name="DECK3">'Stowage Plan'!$AA$113:$CK$121</definedName>
    <definedName name="DECK4">'Stowage Plan'!$AA$104:$CP$112</definedName>
    <definedName name="DECK5">'Stowage Plan'!$B$92:$CP$103</definedName>
    <definedName name="DECK6">'Stowage Plan'!$B$83:$CP$91</definedName>
    <definedName name="DECK7">'Stowage Plan'!$G$74:$CN$82</definedName>
    <definedName name="DECK8">'Stowage Plan'!$B$65:$CW$73</definedName>
    <definedName name="DECK9">'Stowage Plan'!$B$56:$CW$64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'Stowage Plan'!$BY$38:$CW$121</definedName>
    <definedName name="HOLD2">'Stowage Plan'!$BC$29:$BX$139</definedName>
    <definedName name="HOLD3">'Stowage Plan'!$AA$29:$BB$139</definedName>
    <definedName name="HOLD4">'Stowage Plan'!$B$29:$Z$103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'Stowage Plan'!$AA$104:$CP$139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'Stowage Plan'!$B$29:$CW$103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'Stowage Plan'!$A$1:$DE$145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I26" i="53" l="1"/>
  <c r="AZ25" i="53"/>
  <c r="BE25" i="53"/>
  <c r="BJ25" i="53"/>
  <c r="BO25" i="53"/>
  <c r="BT25" i="53"/>
  <c r="BY25" i="53"/>
  <c r="AU25" i="53"/>
  <c r="AB4" i="58"/>
  <c r="X4" i="58"/>
  <c r="AF4" i="58" l="1"/>
  <c r="H4" i="58"/>
  <c r="G7" i="58"/>
  <c r="O21" i="58" l="1"/>
  <c r="Q25" i="53" l="1"/>
  <c r="CS26" i="53"/>
  <c r="CT142" i="53" s="1"/>
  <c r="CD25" i="53"/>
  <c r="T25" i="53"/>
  <c r="W25" i="53"/>
  <c r="Z25" i="53"/>
  <c r="AC25" i="53"/>
  <c r="AF25" i="53"/>
  <c r="AI25" i="53"/>
  <c r="AL25" i="53"/>
  <c r="AO25" i="53"/>
  <c r="AR25" i="53"/>
  <c r="AV4" i="58"/>
  <c r="AR4" i="58"/>
  <c r="AN4" i="58"/>
  <c r="AJ4" i="58"/>
  <c r="L4" i="58"/>
  <c r="P4" i="58"/>
  <c r="T4" i="58"/>
  <c r="Y21" i="58"/>
  <c r="D9" i="58"/>
  <c r="D10" i="58"/>
  <c r="D11" i="58"/>
  <c r="D12" i="58"/>
  <c r="D13" i="58"/>
  <c r="D14" i="58"/>
  <c r="D15" i="58"/>
  <c r="D16" i="58"/>
  <c r="D17" i="58"/>
  <c r="D18" i="58"/>
  <c r="D19" i="58"/>
  <c r="I21" i="58"/>
  <c r="J21" i="58"/>
  <c r="K21" i="58"/>
  <c r="L21" i="58"/>
  <c r="M21" i="58"/>
  <c r="N21" i="58"/>
  <c r="P21" i="58"/>
  <c r="Q21" i="58"/>
  <c r="R21" i="58"/>
  <c r="S21" i="58"/>
  <c r="T21" i="58"/>
  <c r="U21" i="58"/>
  <c r="V21" i="58"/>
  <c r="W21" i="58"/>
  <c r="X21" i="58"/>
  <c r="Z21" i="58"/>
  <c r="AA21" i="58"/>
  <c r="AB21" i="58"/>
  <c r="AC21" i="58"/>
  <c r="AD21" i="58"/>
  <c r="AE21" i="58"/>
  <c r="AF21" i="58"/>
  <c r="AG21" i="58"/>
  <c r="AH21" i="58"/>
  <c r="AI21" i="58"/>
  <c r="AJ21" i="58"/>
  <c r="AK21" i="58"/>
  <c r="AL21" i="58"/>
  <c r="AM21" i="58"/>
  <c r="AN21" i="58"/>
  <c r="AO21" i="58"/>
  <c r="AP21" i="58"/>
  <c r="AQ21" i="58"/>
  <c r="AR21" i="58"/>
  <c r="AS21" i="58"/>
  <c r="AT21" i="58"/>
  <c r="AU21" i="58"/>
  <c r="H21" i="58"/>
  <c r="G9" i="58"/>
  <c r="G10" i="58"/>
  <c r="G11" i="58"/>
  <c r="G12" i="58"/>
  <c r="G13" i="58"/>
  <c r="G14" i="58"/>
  <c r="G15" i="58"/>
  <c r="G16" i="58"/>
  <c r="G17" i="58"/>
  <c r="G18" i="58"/>
  <c r="G19" i="58"/>
  <c r="F9" i="58"/>
  <c r="F10" i="58"/>
  <c r="F11" i="58"/>
  <c r="F12" i="58"/>
  <c r="F13" i="58"/>
  <c r="F14" i="58"/>
  <c r="F15" i="58"/>
  <c r="F16" i="58"/>
  <c r="F17" i="58"/>
  <c r="F18" i="58"/>
  <c r="F19" i="58"/>
  <c r="E9" i="58"/>
  <c r="E10" i="58"/>
  <c r="E11" i="58"/>
  <c r="E12" i="58"/>
  <c r="E13" i="58"/>
  <c r="E14" i="58"/>
  <c r="E15" i="58"/>
  <c r="E16" i="58"/>
  <c r="E17" i="58"/>
  <c r="E18" i="58"/>
  <c r="E19" i="58"/>
  <c r="CX26" i="53"/>
  <c r="CT143" i="53" s="1"/>
  <c r="CL142" i="53" a="1"/>
  <c r="DC133" i="53" a="1"/>
  <c r="DC58" i="53" a="1"/>
  <c r="DC69" i="53" a="1"/>
  <c r="P142" i="53" a="1"/>
  <c r="DC96" i="53" a="1"/>
  <c r="DC78" i="53" a="1"/>
  <c r="DC49" i="53" a="1"/>
  <c r="DC31" i="53" a="1"/>
  <c r="DC87" i="53" a="1"/>
  <c r="DC124" i="53" a="1"/>
  <c r="DC106" i="53" a="1"/>
  <c r="AR142" i="53" a="1"/>
  <c r="DC115" i="53" a="1"/>
  <c r="D8" i="58"/>
  <c r="D7" i="58"/>
  <c r="E8" i="58"/>
  <c r="E7" i="58"/>
  <c r="F8" i="58"/>
  <c r="G8" i="58"/>
  <c r="F7" i="58"/>
  <c r="BQ142" i="53" a="1"/>
  <c r="DC40" i="53" a="1"/>
  <c r="AP26" i="53" l="1"/>
  <c r="CN26" i="53"/>
  <c r="DC79" i="53"/>
  <c r="CY79" i="53" s="1"/>
  <c r="DC78" i="53"/>
  <c r="CY78" i="53" s="1"/>
  <c r="DC58" i="53"/>
  <c r="CY58" i="53" s="1"/>
  <c r="DC59" i="53"/>
  <c r="CY59" i="53" s="1"/>
  <c r="DC87" i="53"/>
  <c r="CY87" i="53" s="1"/>
  <c r="DC88" i="53"/>
  <c r="CY88" i="53" s="1"/>
  <c r="DC96" i="53"/>
  <c r="CY96" i="53" s="1"/>
  <c r="DC97" i="53"/>
  <c r="CY97" i="53" s="1"/>
  <c r="DC106" i="53"/>
  <c r="CY106" i="53" s="1"/>
  <c r="DC107" i="53"/>
  <c r="CY107" i="53" s="1"/>
  <c r="F21" i="58"/>
  <c r="D21" i="58"/>
  <c r="P142" i="53"/>
  <c r="K142" i="53" s="1"/>
  <c r="P143" i="53"/>
  <c r="K143" i="53" s="1"/>
  <c r="DC134" i="53"/>
  <c r="CY134" i="53" s="1"/>
  <c r="DC133" i="53"/>
  <c r="CY133" i="53" s="1"/>
  <c r="DC41" i="53"/>
  <c r="CY41" i="53" s="1"/>
  <c r="DC40" i="53"/>
  <c r="CY40" i="53" s="1"/>
  <c r="G21" i="58"/>
  <c r="E21" i="58"/>
  <c r="DC31" i="53"/>
  <c r="CY31" i="53" s="1"/>
  <c r="DC32" i="53"/>
  <c r="CY32" i="53" s="1"/>
  <c r="CL142" i="53"/>
  <c r="CG142" i="53" s="1"/>
  <c r="CL143" i="53"/>
  <c r="CG143" i="53" s="1"/>
  <c r="DC115" i="53"/>
  <c r="CY115" i="53" s="1"/>
  <c r="DC116" i="53"/>
  <c r="CY116" i="53" s="1"/>
  <c r="BQ143" i="53"/>
  <c r="BL143" i="53" s="1"/>
  <c r="DC70" i="53"/>
  <c r="CY70" i="53" s="1"/>
  <c r="AR142" i="53"/>
  <c r="AM142" i="53" s="1"/>
  <c r="AR143" i="53"/>
  <c r="AM143" i="53" s="1"/>
  <c r="DC49" i="53"/>
  <c r="CY49" i="53" s="1"/>
  <c r="DC50" i="53"/>
  <c r="CY50" i="53" s="1"/>
  <c r="DC125" i="53"/>
  <c r="CY125" i="53" s="1"/>
  <c r="DC124" i="53"/>
  <c r="CY124" i="53" s="1"/>
  <c r="BQ142" i="53"/>
  <c r="BL142" i="53" s="1"/>
  <c r="DC69" i="53"/>
  <c r="CY69" i="53" s="1"/>
  <c r="CT140" i="53" l="1"/>
  <c r="CT141" i="53"/>
</calcChain>
</file>

<file path=xl/sharedStrings.xml><?xml version="1.0" encoding="utf-8"?>
<sst xmlns="http://schemas.openxmlformats.org/spreadsheetml/2006/main" count="234" uniqueCount="110">
  <si>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</si>
  <si>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</si>
  <si>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</si>
  <si>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</si>
  <si>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</si>
  <si>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</si>
  <si>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</si>
  <si>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</si>
  <si>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</si>
  <si>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</si>
  <si>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</si>
  <si>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</si>
  <si>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</si>
  <si>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</si>
  <si>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</si>
  <si>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</si>
  <si>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</si>
  <si>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</si>
  <si>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</si>
  <si>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</si>
  <si>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</si>
  <si>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</si>
  <si>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</si>
  <si>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</si>
  <si>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</si>
  <si>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</si>
  <si>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</si>
  <si>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</si>
  <si>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</si>
  <si>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</si>
  <si>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</si>
  <si>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</si>
  <si>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</si>
  <si>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</si>
  <si>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</si>
  <si>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</si>
  <si>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</si>
  <si>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</si>
  <si>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</si>
  <si>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</si>
  <si>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</si>
  <si>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</si>
  <si>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</si>
  <si>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</si>
  <si>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</si>
  <si>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</si>
  <si>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</si>
  <si>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</si>
  <si>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</si>
  <si>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</si>
  <si>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</si>
  <si>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</si>
  <si>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</si>
  <si>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 xml:space="preserve">Hold No.3 </t>
  </si>
  <si>
    <t xml:space="preserve">Hold No.1 </t>
  </si>
  <si>
    <t>TOTAL ON BOARD</t>
  </si>
  <si>
    <t>PORT KEMBLA</t>
  </si>
  <si>
    <t>PKL</t>
  </si>
  <si>
    <t>JEA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</si>
  <si>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</si>
  <si>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</si>
  <si>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</si>
  <si>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</si>
  <si>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</si>
  <si>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</si>
  <si>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</si>
  <si>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</si>
  <si>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</si>
  <si>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</si>
  <si>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</si>
  <si>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</si>
  <si>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</si>
  <si>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</si>
  <si>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</si>
  <si>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</si>
  <si>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</si>
  <si>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</si>
  <si>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</si>
  <si>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</si>
  <si>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</si>
  <si>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</si>
  <si>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</si>
  <si>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</si>
  <si>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</si>
  <si>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</si>
  <si>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</si>
  <si>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</si>
  <si>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</si>
  <si>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</si>
  <si>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DARWIN</t>
  </si>
  <si>
    <t>DRW</t>
  </si>
  <si>
    <t>LCH</t>
  </si>
  <si>
    <t>BRISBANE</t>
  </si>
  <si>
    <t>BNE</t>
  </si>
  <si>
    <t>MELBOURNE</t>
  </si>
  <si>
    <t>MEL</t>
  </si>
  <si>
    <t>FREMANTLE</t>
  </si>
  <si>
    <t>FRE</t>
  </si>
  <si>
    <t>U/T</t>
  </si>
  <si>
    <t>JEBEL ALI</t>
  </si>
  <si>
    <t>LEAM CHABANG</t>
  </si>
  <si>
    <t>MT</t>
  </si>
  <si>
    <t>"K" LINE</t>
  </si>
  <si>
    <t>DRW / LCH</t>
  </si>
  <si>
    <t>LAEM CHABANG</t>
  </si>
  <si>
    <t>080A</t>
  </si>
  <si>
    <t>SUMMARY OF LOADED  CARGO</t>
  </si>
  <si>
    <r>
      <rPr>
        <sz val="11"/>
        <color theme="0"/>
        <rFont val="Arial"/>
        <family val="2"/>
      </rPr>
      <t xml:space="preserve">                                                 </t>
    </r>
    <r>
      <rPr>
        <sz val="11"/>
        <rFont val="Arial"/>
        <family val="2"/>
      </rPr>
      <t>Disch. port
Loading port</t>
    </r>
  </si>
  <si>
    <t>DISCHARGING PORTS SEQUENCE:</t>
  </si>
  <si>
    <t>&gt;&gt;&gt;&gt;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</si>
</sst>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[$-409]d\-mmm\-yyyy;@"/>
    <numFmt numFmtId="170" formatCode="0&quot;U/s&quot;"/>
    <numFmt numFmtId="171" formatCode="0.0&quot;kt&quot;"/>
  </numFmts>
  <fonts count="49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ＭＳ Ｐゴシック"/>
      <family val="2"/>
      <charset val="128"/>
    </font>
    <font>
      <b/>
      <i/>
      <sz val="11"/>
      <name val="Arial"/>
      <family val="2"/>
    </font>
    <font>
      <sz val="11"/>
      <name val="Arial"/>
      <family val="2"/>
    </font>
    <font>
      <u/>
      <sz val="20"/>
      <name val="Arial"/>
      <family val="2"/>
    </font>
    <font>
      <u/>
      <sz val="18"/>
      <name val="Arial"/>
      <family val="2"/>
    </font>
    <font>
      <b/>
      <sz val="12"/>
      <color indexed="1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 tint="-0.34998626667073579"/>
      <name val="Arial"/>
      <family val="2"/>
    </font>
    <font>
      <sz val="11"/>
      <name val="Calibri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CCCC"/>
        <bgColor indexed="64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/>
      <top style="medium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 style="mediumDashed">
        <color rgb="FFFF0000"/>
      </right>
      <top/>
      <bottom/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1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  <xf numFmtId="0" fontId="36" fillId="0" borderId="0"/>
    <xf numFmtId="0" fontId="39" fillId="0" borderId="0">
      <alignment vertical="center"/>
    </xf>
  </cellStyleXfs>
  <cellXfs count="653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59" xfId="0" applyNumberFormat="1" applyFont="1" applyBorder="1" applyAlignment="1">
      <alignment horizontal="center" vertical="center"/>
    </xf>
    <xf numFmtId="0" fontId="15" fillId="0" borderId="60" xfId="0" applyNumberFormat="1" applyFont="1" applyBorder="1" applyAlignment="1">
      <alignment horizontal="center" vertical="center"/>
    </xf>
    <xf numFmtId="0" fontId="15" fillId="0" borderId="61" xfId="0" applyNumberFormat="1" applyFont="1" applyBorder="1" applyAlignment="1">
      <alignment horizontal="center" vertical="center"/>
    </xf>
    <xf numFmtId="0" fontId="15" fillId="0" borderId="62" xfId="0" applyNumberFormat="1" applyFont="1" applyBorder="1" applyAlignment="1">
      <alignment horizontal="center" vertical="center"/>
    </xf>
    <xf numFmtId="0" fontId="15" fillId="0" borderId="63" xfId="0" applyNumberFormat="1" applyFont="1" applyBorder="1" applyAlignment="1">
      <alignment horizontal="center" vertical="center"/>
    </xf>
    <xf numFmtId="0" fontId="15" fillId="0" borderId="64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5" fillId="0" borderId="0" xfId="0" applyFont="1" applyAlignment="1">
      <alignment horizontal="left" vertical="center"/>
    </xf>
    <xf numFmtId="0" fontId="3" fillId="0" borderId="82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83" xfId="1" applyBorder="1"/>
    <xf numFmtId="0" fontId="7" fillId="0" borderId="82" xfId="1" applyFont="1" applyBorder="1" applyAlignment="1">
      <alignment horizontal="center" vertical="center"/>
    </xf>
    <xf numFmtId="0" fontId="3" fillId="0" borderId="0" xfId="1"/>
    <xf numFmtId="0" fontId="7" fillId="0" borderId="83" xfId="1" applyFont="1" applyBorder="1" applyAlignment="1">
      <alignment horizontal="center" vertical="center"/>
    </xf>
    <xf numFmtId="0" fontId="7" fillId="0" borderId="82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83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83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15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3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84" xfId="8" applyFont="1" applyBorder="1"/>
    <xf numFmtId="0" fontId="28" fillId="0" borderId="85" xfId="8" applyFont="1" applyBorder="1"/>
    <xf numFmtId="0" fontId="28" fillId="0" borderId="86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1" xfId="8" applyFont="1" applyBorder="1"/>
    <xf numFmtId="0" fontId="28" fillId="0" borderId="82" xfId="8" applyFont="1" applyBorder="1"/>
    <xf numFmtId="0" fontId="28" fillId="0" borderId="83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89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19" borderId="7" xfId="0" applyNumberFormat="1" applyFont="1" applyFill="1" applyBorder="1" applyAlignment="1">
      <alignment horizontal="center" vertical="center"/>
    </xf>
    <xf numFmtId="0" fontId="15" fillId="19" borderId="4" xfId="0" applyNumberFormat="1" applyFont="1" applyFill="1" applyBorder="1" applyAlignment="1">
      <alignment horizontal="center" vertical="center"/>
    </xf>
    <xf numFmtId="0" fontId="15" fillId="19" borderId="1" xfId="0" applyNumberFormat="1" applyFont="1" applyFill="1" applyBorder="1" applyAlignment="1">
      <alignment horizontal="center" vertical="center"/>
    </xf>
    <xf numFmtId="169" fontId="40" fillId="0" borderId="0" xfId="1" applyNumberFormat="1" applyFont="1" applyFill="1" applyBorder="1" applyAlignment="1" applyProtection="1">
      <alignment horizontal="center" vertical="center"/>
      <protection locked="0"/>
    </xf>
    <xf numFmtId="0" fontId="41" fillId="0" borderId="0" xfId="10" applyFont="1">
      <alignment vertical="center"/>
    </xf>
    <xf numFmtId="0" fontId="42" fillId="0" borderId="0" xfId="10" applyFont="1" applyFill="1" applyBorder="1" applyAlignment="1">
      <alignment vertical="center"/>
    </xf>
    <xf numFmtId="0" fontId="41" fillId="0" borderId="0" xfId="10" applyFont="1" applyBorder="1">
      <alignment vertical="center"/>
    </xf>
    <xf numFmtId="0" fontId="15" fillId="0" borderId="0" xfId="0" applyFont="1">
      <alignment vertical="center"/>
    </xf>
    <xf numFmtId="0" fontId="41" fillId="0" borderId="0" xfId="10" applyFont="1" applyFill="1" applyBorder="1">
      <alignment vertical="center"/>
    </xf>
    <xf numFmtId="0" fontId="41" fillId="0" borderId="0" xfId="10" applyFont="1" applyFill="1">
      <alignment vertical="center"/>
    </xf>
    <xf numFmtId="0" fontId="41" fillId="0" borderId="0" xfId="10" applyFont="1" applyFill="1" applyAlignment="1">
      <alignment horizontal="center" vertical="center"/>
    </xf>
    <xf numFmtId="0" fontId="41" fillId="0" borderId="0" xfId="10" applyFont="1" applyFill="1" applyBorder="1" applyAlignment="1">
      <alignment horizontal="center" vertical="center"/>
    </xf>
    <xf numFmtId="0" fontId="9" fillId="0" borderId="0" xfId="10" applyFont="1" applyFill="1" applyBorder="1">
      <alignment vertical="center"/>
    </xf>
    <xf numFmtId="0" fontId="38" fillId="0" borderId="0" xfId="10" applyFont="1" applyFill="1" applyBorder="1">
      <alignment vertical="center"/>
    </xf>
    <xf numFmtId="0" fontId="37" fillId="0" borderId="0" xfId="10" applyFont="1" applyFill="1" applyBorder="1" applyAlignment="1">
      <alignment horizontal="right" vertical="center"/>
    </xf>
    <xf numFmtId="0" fontId="41" fillId="0" borderId="0" xfId="10" applyFont="1" applyFill="1" applyBorder="1" applyAlignment="1">
      <alignment horizontal="center" vertical="center" wrapText="1"/>
    </xf>
    <xf numFmtId="0" fontId="41" fillId="0" borderId="0" xfId="10" applyFont="1" applyFill="1" applyBorder="1" applyAlignment="1">
      <alignment horizontal="right" vertical="center"/>
    </xf>
    <xf numFmtId="0" fontId="37" fillId="0" borderId="0" xfId="10" applyFont="1" applyFill="1" applyBorder="1" applyAlignment="1">
      <alignment horizontal="left" vertical="center" wrapText="1"/>
    </xf>
    <xf numFmtId="0" fontId="37" fillId="0" borderId="0" xfId="10" applyFont="1">
      <alignment vertical="center"/>
    </xf>
    <xf numFmtId="0" fontId="41" fillId="0" borderId="91" xfId="1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7" xfId="10" applyFont="1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38" fillId="0" borderId="0" xfId="10" applyFont="1" applyFill="1" applyBorder="1" applyAlignment="1">
      <alignment horizontal="center" vertical="center"/>
    </xf>
    <xf numFmtId="0" fontId="43" fillId="0" borderId="0" xfId="10" applyFont="1" applyFill="1" applyBorder="1" applyAlignment="1">
      <alignment vertical="center"/>
    </xf>
    <xf numFmtId="0" fontId="44" fillId="22" borderId="91" xfId="10" applyFont="1" applyFill="1" applyBorder="1" applyAlignment="1">
      <alignment horizontal="center" vertical="center"/>
    </xf>
    <xf numFmtId="0" fontId="44" fillId="0" borderId="91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38" fillId="0" borderId="91" xfId="10" applyFont="1" applyFill="1" applyBorder="1" applyAlignment="1">
      <alignment horizontal="center" vertical="center"/>
    </xf>
    <xf numFmtId="0" fontId="9" fillId="0" borderId="17" xfId="10" applyFont="1" applyFill="1" applyBorder="1" applyAlignment="1">
      <alignment horizontal="center" vertical="center"/>
    </xf>
    <xf numFmtId="0" fontId="38" fillId="0" borderId="93" xfId="10" applyFont="1" applyFill="1" applyBorder="1" applyAlignment="1">
      <alignment horizontal="center" vertical="center"/>
    </xf>
    <xf numFmtId="0" fontId="38" fillId="0" borderId="94" xfId="10" applyFont="1" applyFill="1" applyBorder="1" applyAlignment="1">
      <alignment horizontal="center" vertical="center"/>
    </xf>
    <xf numFmtId="0" fontId="9" fillId="0" borderId="17" xfId="10" applyFont="1" applyBorder="1" applyAlignment="1">
      <alignment horizontal="center" vertical="center"/>
    </xf>
    <xf numFmtId="0" fontId="15" fillId="23" borderId="0" xfId="0" applyFont="1" applyFill="1">
      <alignment vertical="center"/>
    </xf>
    <xf numFmtId="0" fontId="15" fillId="23" borderId="0" xfId="0" applyFont="1" applyFill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68" fontId="9" fillId="0" borderId="28" xfId="0" applyNumberFormat="1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left" vertical="center"/>
    </xf>
    <xf numFmtId="0" fontId="15" fillId="17" borderId="7" xfId="0" applyNumberFormat="1" applyFont="1" applyFill="1" applyBorder="1" applyAlignment="1">
      <alignment horizontal="center" vertical="center"/>
    </xf>
    <xf numFmtId="0" fontId="15" fillId="17" borderId="4" xfId="0" applyNumberFormat="1" applyFont="1" applyFill="1" applyBorder="1" applyAlignment="1">
      <alignment horizontal="center" vertical="center"/>
    </xf>
    <xf numFmtId="0" fontId="15" fillId="17" borderId="5" xfId="0" applyNumberFormat="1" applyFont="1" applyFill="1" applyBorder="1" applyAlignment="1">
      <alignment horizontal="center" vertical="center"/>
    </xf>
    <xf numFmtId="0" fontId="15" fillId="17" borderId="1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Alignment="1">
      <alignment horizontal="center" vertical="center"/>
    </xf>
    <xf numFmtId="0" fontId="15" fillId="17" borderId="2" xfId="0" applyNumberFormat="1" applyFont="1" applyFill="1" applyBorder="1" applyAlignment="1">
      <alignment horizontal="center" vertical="center"/>
    </xf>
    <xf numFmtId="0" fontId="19" fillId="17" borderId="0" xfId="0" applyNumberFormat="1" applyFont="1" applyFill="1" applyBorder="1" applyAlignment="1">
      <alignment horizontal="left" vertical="center"/>
    </xf>
    <xf numFmtId="0" fontId="15" fillId="17" borderId="12" xfId="0" applyNumberFormat="1" applyFont="1" applyFill="1" applyBorder="1" applyAlignment="1">
      <alignment horizontal="center" vertical="center"/>
    </xf>
    <xf numFmtId="0" fontId="15" fillId="17" borderId="13" xfId="0" applyNumberFormat="1" applyFont="1" applyFill="1" applyBorder="1" applyAlignment="1">
      <alignment horizontal="center" vertical="center"/>
    </xf>
    <xf numFmtId="0" fontId="15" fillId="17" borderId="14" xfId="0" applyNumberFormat="1" applyFont="1" applyFill="1" applyBorder="1" applyAlignment="1">
      <alignment horizontal="center" vertical="center"/>
    </xf>
    <xf numFmtId="0" fontId="15" fillId="17" borderId="8" xfId="0" applyNumberFormat="1" applyFont="1" applyFill="1" applyBorder="1" applyAlignment="1">
      <alignment horizontal="center" vertical="center"/>
    </xf>
    <xf numFmtId="0" fontId="15" fillId="17" borderId="9" xfId="0" applyNumberFormat="1" applyFont="1" applyFill="1" applyBorder="1" applyAlignment="1">
      <alignment horizontal="center" vertical="center"/>
    </xf>
    <xf numFmtId="0" fontId="15" fillId="17" borderId="10" xfId="0" applyNumberFormat="1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15" fillId="0" borderId="112" xfId="0" applyNumberFormat="1" applyFont="1" applyBorder="1" applyAlignment="1">
      <alignment vertical="center"/>
    </xf>
    <xf numFmtId="0" fontId="15" fillId="0" borderId="112" xfId="0" applyNumberFormat="1" applyFont="1" applyBorder="1" applyAlignment="1">
      <alignment horizontal="center" vertical="center"/>
    </xf>
    <xf numFmtId="0" fontId="15" fillId="0" borderId="113" xfId="0" applyNumberFormat="1" applyFont="1" applyBorder="1" applyAlignment="1">
      <alignment horizontal="center" vertical="center"/>
    </xf>
    <xf numFmtId="0" fontId="15" fillId="0" borderId="114" xfId="0" applyNumberFormat="1" applyFont="1" applyBorder="1" applyAlignment="1">
      <alignment horizontal="center" vertical="center"/>
    </xf>
    <xf numFmtId="0" fontId="15" fillId="0" borderId="115" xfId="0" applyNumberFormat="1" applyFont="1" applyBorder="1" applyAlignment="1">
      <alignment vertical="center"/>
    </xf>
    <xf numFmtId="0" fontId="15" fillId="0" borderId="115" xfId="0" applyNumberFormat="1" applyFont="1" applyBorder="1" applyAlignment="1">
      <alignment horizontal="center" vertical="center"/>
    </xf>
    <xf numFmtId="0" fontId="15" fillId="0" borderId="116" xfId="0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48" fillId="22" borderId="0" xfId="0" quotePrefix="1" applyFont="1" applyFill="1" applyAlignment="1">
      <alignment horizontal="center" vertical="center"/>
    </xf>
    <xf numFmtId="0" fontId="48" fillId="17" borderId="0" xfId="0" applyFont="1" applyFill="1" applyAlignment="1">
      <alignment horizontal="center" vertical="center"/>
    </xf>
    <xf numFmtId="0" fontId="48" fillId="18" borderId="0" xfId="0" applyFont="1" applyFill="1" applyAlignment="1">
      <alignment horizontal="center" vertical="center"/>
    </xf>
    <xf numFmtId="0" fontId="48" fillId="19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8" fillId="24" borderId="0" xfId="0" applyFont="1" applyFill="1" applyAlignment="1">
      <alignment horizontal="center" vertical="center"/>
    </xf>
    <xf numFmtId="0" fontId="15" fillId="24" borderId="7" xfId="0" applyNumberFormat="1" applyFont="1" applyFill="1" applyBorder="1" applyAlignment="1">
      <alignment horizontal="center" vertical="center"/>
    </xf>
    <xf numFmtId="0" fontId="15" fillId="24" borderId="4" xfId="0" applyNumberFormat="1" applyFont="1" applyFill="1" applyBorder="1" applyAlignment="1">
      <alignment horizontal="center" vertical="center"/>
    </xf>
    <xf numFmtId="0" fontId="15" fillId="24" borderId="1" xfId="0" applyNumberFormat="1" applyFont="1" applyFill="1" applyBorder="1" applyAlignment="1">
      <alignment horizontal="center" vertical="center"/>
    </xf>
    <xf numFmtId="0" fontId="15" fillId="24" borderId="2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vertical="center"/>
    </xf>
    <xf numFmtId="0" fontId="15" fillId="18" borderId="0" xfId="0" applyNumberFormat="1" applyFont="1" applyFill="1" applyBorder="1" applyAlignment="1">
      <alignment vertical="center"/>
    </xf>
    <xf numFmtId="0" fontId="15" fillId="19" borderId="0" xfId="0" applyNumberFormat="1" applyFont="1" applyFill="1" applyBorder="1" applyAlignment="1">
      <alignment horizontal="center" vertical="center"/>
    </xf>
    <xf numFmtId="0" fontId="15" fillId="18" borderId="4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1" borderId="55" xfId="0" applyFont="1" applyFill="1" applyBorder="1" applyAlignment="1">
      <alignment horizontal="center" vertical="center"/>
    </xf>
    <xf numFmtId="0" fontId="9" fillId="11" borderId="34" xfId="0" applyFont="1" applyFill="1" applyBorder="1" applyAlignment="1">
      <alignment horizontal="center" vertical="center"/>
    </xf>
    <xf numFmtId="170" fontId="15" fillId="18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171" fontId="15" fillId="18" borderId="0" xfId="0" applyNumberFormat="1" applyFont="1" applyFill="1" applyBorder="1" applyAlignment="1">
      <alignment horizontal="center" vertical="center"/>
    </xf>
    <xf numFmtId="171" fontId="15" fillId="17" borderId="0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170" fontId="15" fillId="17" borderId="0" xfId="0" applyNumberFormat="1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168" fontId="9" fillId="5" borderId="90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9" fillId="14" borderId="52" xfId="0" applyFont="1" applyFill="1" applyBorder="1" applyAlignment="1">
      <alignment horizontal="center" vertical="center"/>
    </xf>
    <xf numFmtId="0" fontId="9" fillId="14" borderId="53" xfId="0" applyFont="1" applyFill="1" applyBorder="1" applyAlignment="1">
      <alignment horizontal="center" vertical="center"/>
    </xf>
    <xf numFmtId="0" fontId="8" fillId="14" borderId="53" xfId="0" applyFont="1" applyFill="1" applyBorder="1" applyAlignment="1">
      <alignment horizontal="center" vertical="center"/>
    </xf>
    <xf numFmtId="0" fontId="8" fillId="14" borderId="54" xfId="0" applyFont="1" applyFill="1" applyBorder="1" applyAlignment="1">
      <alignment horizontal="center" vertical="center"/>
    </xf>
    <xf numFmtId="170" fontId="45" fillId="18" borderId="0" xfId="0" applyNumberFormat="1" applyFont="1" applyFill="1" applyBorder="1" applyAlignment="1">
      <alignment horizontal="center" vertical="center"/>
    </xf>
    <xf numFmtId="0" fontId="45" fillId="18" borderId="0" xfId="0" applyNumberFormat="1" applyFont="1" applyFill="1" applyBorder="1" applyAlignment="1">
      <alignment horizontal="center" vertical="center"/>
    </xf>
    <xf numFmtId="168" fontId="9" fillId="11" borderId="34" xfId="0" applyNumberFormat="1" applyFont="1" applyFill="1" applyBorder="1" applyAlignment="1">
      <alignment horizontal="center" vertical="center"/>
    </xf>
    <xf numFmtId="168" fontId="9" fillId="11" borderId="56" xfId="0" applyNumberFormat="1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71" fontId="15" fillId="24" borderId="0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171" fontId="45" fillId="17" borderId="0" xfId="0" applyNumberFormat="1" applyFont="1" applyFill="1" applyBorder="1" applyAlignment="1">
      <alignment horizontal="center" vertical="center"/>
    </xf>
    <xf numFmtId="0" fontId="45" fillId="17" borderId="0" xfId="0" applyNumberFormat="1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170" fontId="45" fillId="17" borderId="0" xfId="0" applyNumberFormat="1" applyFont="1" applyFill="1" applyBorder="1" applyAlignment="1">
      <alignment horizontal="center" vertical="center"/>
    </xf>
    <xf numFmtId="0" fontId="8" fillId="24" borderId="37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7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24" borderId="18" xfId="0" applyFont="1" applyFill="1" applyBorder="1" applyAlignment="1">
      <alignment horizontal="center" vertical="center"/>
    </xf>
    <xf numFmtId="0" fontId="8" fillId="2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21" borderId="37" xfId="0" applyFont="1" applyFill="1" applyBorder="1" applyAlignment="1">
      <alignment horizontal="center" vertical="center"/>
    </xf>
    <xf numFmtId="0" fontId="8" fillId="21" borderId="24" xfId="0" applyFont="1" applyFill="1" applyBorder="1" applyAlignment="1">
      <alignment horizontal="center" vertical="center"/>
    </xf>
    <xf numFmtId="0" fontId="8" fillId="21" borderId="25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22" xfId="0" applyNumberFormat="1" applyFont="1" applyBorder="1" applyAlignment="1">
      <alignment horizontal="center" vertical="center"/>
    </xf>
    <xf numFmtId="0" fontId="15" fillId="0" borderId="5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5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21" borderId="0" xfId="0" applyNumberFormat="1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21" borderId="17" xfId="0" applyFont="1" applyFill="1" applyBorder="1" applyAlignment="1">
      <alignment horizontal="center" vertical="center"/>
    </xf>
    <xf numFmtId="0" fontId="8" fillId="21" borderId="51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0" borderId="24" xfId="0" applyFont="1" applyFill="1" applyBorder="1" applyAlignment="1">
      <alignment horizontal="center" vertical="center"/>
    </xf>
    <xf numFmtId="0" fontId="8" fillId="20" borderId="25" xfId="0" applyFont="1" applyFill="1" applyBorder="1" applyAlignment="1">
      <alignment horizontal="center" vertical="center"/>
    </xf>
    <xf numFmtId="0" fontId="8" fillId="20" borderId="17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20" borderId="51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17" borderId="110" xfId="0" applyFont="1" applyFill="1" applyBorder="1" applyAlignment="1">
      <alignment horizontal="center" vertical="center"/>
    </xf>
    <xf numFmtId="0" fontId="8" fillId="17" borderId="85" xfId="0" applyFont="1" applyFill="1" applyBorder="1" applyAlignment="1">
      <alignment horizontal="center" vertical="center"/>
    </xf>
    <xf numFmtId="0" fontId="8" fillId="17" borderId="111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24" borderId="51" xfId="0" applyFont="1" applyFill="1" applyBorder="1" applyAlignment="1">
      <alignment horizontal="center" vertical="center"/>
    </xf>
    <xf numFmtId="0" fontId="8" fillId="20" borderId="18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19" fillId="0" borderId="106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105" xfId="0" applyFont="1" applyBorder="1" applyAlignment="1">
      <alignment horizontal="center" vertical="center"/>
    </xf>
    <xf numFmtId="0" fontId="8" fillId="17" borderId="34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17" borderId="81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9" fillId="17" borderId="55" xfId="0" applyFont="1" applyFill="1" applyBorder="1" applyAlignment="1">
      <alignment horizontal="center" vertical="center"/>
    </xf>
    <xf numFmtId="0" fontId="9" fillId="17" borderId="34" xfId="0" applyFont="1" applyFill="1" applyBorder="1" applyAlignment="1">
      <alignment horizontal="center" vertical="center"/>
    </xf>
    <xf numFmtId="0" fontId="8" fillId="17" borderId="55" xfId="0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02" xfId="0" applyFont="1" applyFill="1" applyBorder="1" applyAlignment="1">
      <alignment horizontal="center" vertical="center"/>
    </xf>
    <xf numFmtId="170" fontId="15" fillId="24" borderId="0" xfId="0" applyNumberFormat="1" applyFont="1" applyFill="1" applyBorder="1" applyAlignment="1">
      <alignment horizontal="center" vertical="center"/>
    </xf>
    <xf numFmtId="0" fontId="8" fillId="14" borderId="117" xfId="0" applyFont="1" applyFill="1" applyBorder="1" applyAlignment="1">
      <alignment horizontal="center" vertical="center"/>
    </xf>
    <xf numFmtId="0" fontId="8" fillId="14" borderId="118" xfId="0" applyFont="1" applyFill="1" applyBorder="1" applyAlignment="1">
      <alignment horizontal="center" vertical="center"/>
    </xf>
    <xf numFmtId="0" fontId="8" fillId="14" borderId="119" xfId="0" applyFont="1" applyFill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7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5" borderId="103" xfId="0" applyFont="1" applyFill="1" applyBorder="1" applyAlignment="1">
      <alignment horizontal="center" vertical="center"/>
    </xf>
    <xf numFmtId="0" fontId="15" fillId="10" borderId="27" xfId="0" applyFont="1" applyFill="1" applyBorder="1" applyAlignment="1">
      <alignment horizontal="center" vertical="center"/>
    </xf>
    <xf numFmtId="0" fontId="15" fillId="10" borderId="28" xfId="0" applyFont="1" applyFill="1" applyBorder="1" applyAlignment="1">
      <alignment horizontal="center" vertical="center"/>
    </xf>
    <xf numFmtId="0" fontId="8" fillId="5" borderId="87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14" borderId="52" xfId="0" applyFont="1" applyFill="1" applyBorder="1" applyAlignment="1">
      <alignment horizontal="center" vertical="center"/>
    </xf>
    <xf numFmtId="0" fontId="8" fillId="14" borderId="120" xfId="0" applyFont="1" applyFill="1" applyBorder="1" applyAlignment="1">
      <alignment horizontal="center" vertical="center"/>
    </xf>
    <xf numFmtId="0" fontId="8" fillId="14" borderId="121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1" borderId="38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166" fontId="8" fillId="9" borderId="27" xfId="1" applyNumberFormat="1" applyFont="1" applyFill="1" applyBorder="1" applyAlignment="1">
      <alignment horizontal="center"/>
    </xf>
    <xf numFmtId="166" fontId="8" fillId="9" borderId="28" xfId="1" applyNumberFormat="1" applyFont="1" applyFill="1" applyBorder="1" applyAlignment="1">
      <alignment horizontal="center"/>
    </xf>
    <xf numFmtId="166" fontId="8" fillId="9" borderId="29" xfId="1" applyNumberFormat="1" applyFont="1" applyFill="1" applyBorder="1" applyAlignment="1">
      <alignment horizontal="center"/>
    </xf>
    <xf numFmtId="165" fontId="8" fillId="9" borderId="27" xfId="1" applyNumberFormat="1" applyFont="1" applyFill="1" applyBorder="1" applyAlignment="1">
      <alignment horizontal="center"/>
    </xf>
    <xf numFmtId="165" fontId="8" fillId="9" borderId="28" xfId="1" applyNumberFormat="1" applyFont="1" applyFill="1" applyBorder="1" applyAlignment="1">
      <alignment horizontal="center"/>
    </xf>
    <xf numFmtId="165" fontId="8" fillId="9" borderId="29" xfId="1" applyNumberFormat="1" applyFont="1" applyFill="1" applyBorder="1" applyAlignment="1">
      <alignment horizontal="center"/>
    </xf>
    <xf numFmtId="167" fontId="8" fillId="9" borderId="27" xfId="1" applyNumberFormat="1" applyFont="1" applyFill="1" applyBorder="1" applyAlignment="1">
      <alignment horizontal="center"/>
    </xf>
    <xf numFmtId="167" fontId="8" fillId="9" borderId="28" xfId="1" applyNumberFormat="1" applyFont="1" applyFill="1" applyBorder="1" applyAlignment="1">
      <alignment horizontal="center"/>
    </xf>
    <xf numFmtId="167" fontId="8" fillId="9" borderId="29" xfId="1" applyNumberFormat="1" applyFont="1" applyFill="1" applyBorder="1" applyAlignment="1">
      <alignment horizontal="center"/>
    </xf>
    <xf numFmtId="166" fontId="9" fillId="8" borderId="27" xfId="1" applyNumberFormat="1" applyFont="1" applyFill="1" applyBorder="1" applyAlignment="1">
      <alignment horizontal="center"/>
    </xf>
    <xf numFmtId="166" fontId="9" fillId="8" borderId="28" xfId="1" applyNumberFormat="1" applyFont="1" applyFill="1" applyBorder="1" applyAlignment="1">
      <alignment horizontal="center"/>
    </xf>
    <xf numFmtId="166" fontId="9" fillId="8" borderId="29" xfId="1" applyNumberFormat="1" applyFont="1" applyFill="1" applyBorder="1" applyAlignment="1">
      <alignment horizont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168" fontId="20" fillId="11" borderId="27" xfId="0" applyNumberFormat="1" applyFont="1" applyFill="1" applyBorder="1" applyAlignment="1">
      <alignment horizontal="center" vertical="center"/>
    </xf>
    <xf numFmtId="168" fontId="20" fillId="11" borderId="28" xfId="0" applyNumberFormat="1" applyFont="1" applyFill="1" applyBorder="1" applyAlignment="1">
      <alignment horizontal="center" vertical="center"/>
    </xf>
    <xf numFmtId="168" fontId="20" fillId="11" borderId="29" xfId="0" applyNumberFormat="1" applyFont="1" applyFill="1" applyBorder="1" applyAlignment="1">
      <alignment horizontal="center" vertical="center"/>
    </xf>
    <xf numFmtId="171" fontId="45" fillId="18" borderId="0" xfId="0" applyNumberFormat="1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8" fillId="5" borderId="104" xfId="0" applyFont="1" applyFill="1" applyBorder="1" applyAlignment="1">
      <alignment horizontal="center" vertical="center"/>
    </xf>
    <xf numFmtId="168" fontId="6" fillId="11" borderId="27" xfId="0" applyNumberFormat="1" applyFont="1" applyFill="1" applyBorder="1" applyAlignment="1">
      <alignment horizontal="center" vertical="center"/>
    </xf>
    <xf numFmtId="168" fontId="6" fillId="11" borderId="28" xfId="0" applyNumberFormat="1" applyFont="1" applyFill="1" applyBorder="1" applyAlignment="1">
      <alignment horizontal="center" vertical="center"/>
    </xf>
    <xf numFmtId="168" fontId="6" fillId="11" borderId="29" xfId="0" applyNumberFormat="1" applyFont="1" applyFill="1" applyBorder="1" applyAlignment="1">
      <alignment horizontal="center" vertical="center"/>
    </xf>
    <xf numFmtId="0" fontId="9" fillId="5" borderId="87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168" fontId="9" fillId="5" borderId="12" xfId="0" applyNumberFormat="1" applyFont="1" applyFill="1" applyBorder="1" applyAlignment="1">
      <alignment horizontal="center" vertical="center"/>
    </xf>
    <xf numFmtId="168" fontId="9" fillId="5" borderId="13" xfId="0" applyNumberFormat="1" applyFont="1" applyFill="1" applyBorder="1" applyAlignment="1">
      <alignment horizontal="center" vertical="center"/>
    </xf>
    <xf numFmtId="168" fontId="9" fillId="5" borderId="102" xfId="0" applyNumberFormat="1" applyFont="1" applyFill="1" applyBorder="1" applyAlignment="1">
      <alignment horizontal="center" vertical="center"/>
    </xf>
    <xf numFmtId="0" fontId="9" fillId="5" borderId="90" xfId="0" applyFont="1" applyFill="1" applyBorder="1" applyAlignment="1">
      <alignment horizontal="center" vertical="center"/>
    </xf>
    <xf numFmtId="0" fontId="9" fillId="14" borderId="117" xfId="0" applyFont="1" applyFill="1" applyBorder="1" applyAlignment="1">
      <alignment horizontal="center" vertical="center"/>
    </xf>
    <xf numFmtId="0" fontId="9" fillId="14" borderId="118" xfId="0" applyFont="1" applyFill="1" applyBorder="1" applyAlignment="1">
      <alignment horizontal="center" vertical="center"/>
    </xf>
    <xf numFmtId="0" fontId="9" fillId="14" borderId="119" xfId="0" applyFont="1" applyFill="1" applyBorder="1" applyAlignment="1">
      <alignment horizontal="center" vertical="center"/>
    </xf>
    <xf numFmtId="168" fontId="9" fillId="14" borderId="53" xfId="0" applyNumberFormat="1" applyFont="1" applyFill="1" applyBorder="1" applyAlignment="1">
      <alignment horizontal="center" vertical="center"/>
    </xf>
    <xf numFmtId="0" fontId="9" fillId="5" borderId="103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168" fontId="9" fillId="14" borderId="54" xfId="0" applyNumberFormat="1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8" fontId="9" fillId="14" borderId="120" xfId="0" applyNumberFormat="1" applyFont="1" applyFill="1" applyBorder="1" applyAlignment="1">
      <alignment horizontal="center" vertical="center"/>
    </xf>
    <xf numFmtId="168" fontId="9" fillId="14" borderId="118" xfId="0" applyNumberFormat="1" applyFont="1" applyFill="1" applyBorder="1" applyAlignment="1">
      <alignment horizontal="center" vertical="center"/>
    </xf>
    <xf numFmtId="168" fontId="9" fillId="14" borderId="12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9" fillId="5" borderId="104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9" fillId="24" borderId="51" xfId="0" applyFont="1" applyFill="1" applyBorder="1" applyAlignment="1">
      <alignment horizontal="center" vertical="center"/>
    </xf>
    <xf numFmtId="0" fontId="9" fillId="24" borderId="17" xfId="0" applyFont="1" applyFill="1" applyBorder="1" applyAlignment="1">
      <alignment horizontal="center" vertical="center"/>
    </xf>
    <xf numFmtId="168" fontId="9" fillId="24" borderId="17" xfId="0" applyNumberFormat="1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168" fontId="9" fillId="12" borderId="17" xfId="0" applyNumberFormat="1" applyFont="1" applyFill="1" applyBorder="1" applyAlignment="1">
      <alignment horizontal="center" vertical="center"/>
    </xf>
    <xf numFmtId="168" fontId="9" fillId="12" borderId="36" xfId="0" applyNumberFormat="1" applyFont="1" applyFill="1" applyBorder="1" applyAlignment="1">
      <alignment horizontal="center" vertical="center"/>
    </xf>
    <xf numFmtId="168" fontId="9" fillId="24" borderId="36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0" fontId="9" fillId="21" borderId="17" xfId="0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8" fillId="21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168" fontId="9" fillId="21" borderId="17" xfId="0" applyNumberFormat="1" applyFont="1" applyFill="1" applyBorder="1" applyAlignment="1">
      <alignment horizontal="center" vertical="center"/>
    </xf>
    <xf numFmtId="0" fontId="9" fillId="21" borderId="51" xfId="0" applyFont="1" applyFill="1" applyBorder="1" applyAlignment="1">
      <alignment horizontal="center" vertical="center"/>
    </xf>
    <xf numFmtId="0" fontId="9" fillId="24" borderId="37" xfId="0" applyFont="1" applyFill="1" applyBorder="1" applyAlignment="1">
      <alignment horizontal="center" vertical="center"/>
    </xf>
    <xf numFmtId="0" fontId="9" fillId="24" borderId="24" xfId="0" applyFont="1" applyFill="1" applyBorder="1" applyAlignment="1">
      <alignment horizontal="center" vertical="center"/>
    </xf>
    <xf numFmtId="0" fontId="9" fillId="24" borderId="25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21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0" fontId="9" fillId="21" borderId="37" xfId="0" applyFont="1" applyFill="1" applyBorder="1" applyAlignment="1">
      <alignment horizontal="center" vertical="center"/>
    </xf>
    <xf numFmtId="0" fontId="9" fillId="21" borderId="24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21" borderId="18" xfId="0" applyNumberFormat="1" applyFont="1" applyFill="1" applyBorder="1" applyAlignment="1">
      <alignment horizontal="center" vertical="center"/>
    </xf>
    <xf numFmtId="168" fontId="9" fillId="21" borderId="24" xfId="0" applyNumberFormat="1" applyFont="1" applyFill="1" applyBorder="1" applyAlignment="1">
      <alignment horizontal="center" vertical="center"/>
    </xf>
    <xf numFmtId="168" fontId="9" fillId="21" borderId="38" xfId="0" applyNumberFormat="1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0" fontId="19" fillId="0" borderId="108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168" fontId="9" fillId="17" borderId="34" xfId="0" applyNumberFormat="1" applyFont="1" applyFill="1" applyBorder="1" applyAlignment="1">
      <alignment horizontal="center" vertical="center"/>
    </xf>
    <xf numFmtId="168" fontId="9" fillId="17" borderId="56" xfId="0" applyNumberFormat="1" applyFont="1" applyFill="1" applyBorder="1" applyAlignment="1">
      <alignment horizontal="center" vertical="center"/>
    </xf>
    <xf numFmtId="0" fontId="19" fillId="0" borderId="107" xfId="0" applyFont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9" fillId="20" borderId="51" xfId="0" applyFont="1" applyFill="1" applyBorder="1" applyAlignment="1">
      <alignment horizontal="center" vertical="center"/>
    </xf>
    <xf numFmtId="0" fontId="9" fillId="20" borderId="17" xfId="0" applyFont="1" applyFill="1" applyBorder="1" applyAlignment="1">
      <alignment horizontal="center" vertical="center"/>
    </xf>
    <xf numFmtId="0" fontId="8" fillId="20" borderId="36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168" fontId="9" fillId="20" borderId="17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17" borderId="56" xfId="0" applyFont="1" applyFill="1" applyBorder="1" applyAlignment="1">
      <alignment horizontal="center" vertical="center"/>
    </xf>
    <xf numFmtId="168" fontId="9" fillId="17" borderId="8" xfId="0" applyNumberFormat="1" applyFont="1" applyFill="1" applyBorder="1" applyAlignment="1">
      <alignment horizontal="center" vertical="center"/>
    </xf>
    <xf numFmtId="168" fontId="9" fillId="17" borderId="9" xfId="0" applyNumberFormat="1" applyFont="1" applyFill="1" applyBorder="1" applyAlignment="1">
      <alignment horizontal="center" vertical="center"/>
    </xf>
    <xf numFmtId="168" fontId="9" fillId="17" borderId="81" xfId="0" applyNumberFormat="1" applyFont="1" applyFill="1" applyBorder="1" applyAlignment="1">
      <alignment horizontal="center" vertical="center"/>
    </xf>
    <xf numFmtId="0" fontId="9" fillId="17" borderId="80" xfId="0" applyFont="1" applyFill="1" applyBorder="1" applyAlignment="1">
      <alignment horizontal="center" vertical="center"/>
    </xf>
    <xf numFmtId="0" fontId="9" fillId="17" borderId="9" xfId="0" applyFont="1" applyFill="1" applyBorder="1" applyAlignment="1">
      <alignment horizontal="center" vertical="center"/>
    </xf>
    <xf numFmtId="0" fontId="9" fillId="17" borderId="10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24" borderId="18" xfId="0" applyNumberFormat="1" applyFont="1" applyFill="1" applyBorder="1" applyAlignment="1">
      <alignment horizontal="center" vertical="center"/>
    </xf>
    <xf numFmtId="168" fontId="9" fillId="24" borderId="24" xfId="0" applyNumberFormat="1" applyFont="1" applyFill="1" applyBorder="1" applyAlignment="1">
      <alignment horizontal="center" vertical="center"/>
    </xf>
    <xf numFmtId="168" fontId="9" fillId="24" borderId="38" xfId="0" applyNumberFormat="1" applyFont="1" applyFill="1" applyBorder="1" applyAlignment="1">
      <alignment horizontal="center" vertical="center"/>
    </xf>
    <xf numFmtId="168" fontId="9" fillId="20" borderId="36" xfId="0" applyNumberFormat="1" applyFont="1" applyFill="1" applyBorder="1" applyAlignment="1">
      <alignment horizontal="center" vertical="center"/>
    </xf>
    <xf numFmtId="0" fontId="9" fillId="20" borderId="37" xfId="0" applyFont="1" applyFill="1" applyBorder="1" applyAlignment="1">
      <alignment horizontal="center" vertical="center"/>
    </xf>
    <xf numFmtId="0" fontId="9" fillId="20" borderId="24" xfId="0" applyFont="1" applyFill="1" applyBorder="1" applyAlignment="1">
      <alignment horizontal="center" vertical="center"/>
    </xf>
    <xf numFmtId="0" fontId="9" fillId="20" borderId="25" xfId="0" applyFont="1" applyFill="1" applyBorder="1" applyAlignment="1">
      <alignment horizontal="center" vertical="center"/>
    </xf>
    <xf numFmtId="168" fontId="9" fillId="20" borderId="18" xfId="0" applyNumberFormat="1" applyFont="1" applyFill="1" applyBorder="1" applyAlignment="1">
      <alignment horizontal="center" vertical="center"/>
    </xf>
    <xf numFmtId="168" fontId="9" fillId="20" borderId="24" xfId="0" applyNumberFormat="1" applyFont="1" applyFill="1" applyBorder="1" applyAlignment="1">
      <alignment horizontal="center" vertical="center"/>
    </xf>
    <xf numFmtId="168" fontId="9" fillId="20" borderId="38" xfId="0" applyNumberFormat="1" applyFont="1" applyFill="1" applyBorder="1" applyAlignment="1">
      <alignment horizontal="center" vertical="center"/>
    </xf>
    <xf numFmtId="0" fontId="8" fillId="24" borderId="36" xfId="0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37" fillId="0" borderId="98" xfId="10" applyFont="1" applyFill="1" applyBorder="1" applyAlignment="1">
      <alignment horizontal="center" vertical="center"/>
    </xf>
    <xf numFmtId="0" fontId="37" fillId="0" borderId="4" xfId="10" applyFont="1" applyFill="1" applyBorder="1" applyAlignment="1">
      <alignment horizontal="center" vertical="center"/>
    </xf>
    <xf numFmtId="0" fontId="37" fillId="0" borderId="97" xfId="10" applyFont="1" applyFill="1" applyBorder="1" applyAlignment="1">
      <alignment horizontal="center" vertical="center"/>
    </xf>
    <xf numFmtId="0" fontId="9" fillId="0" borderId="93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8" fillId="0" borderId="92" xfId="10" applyFont="1" applyFill="1" applyBorder="1" applyAlignment="1">
      <alignment horizontal="center" vertical="center"/>
    </xf>
    <xf numFmtId="0" fontId="8" fillId="0" borderId="101" xfId="10" applyFont="1" applyFill="1" applyBorder="1" applyAlignment="1">
      <alignment horizontal="center" vertical="center"/>
    </xf>
    <xf numFmtId="0" fontId="9" fillId="0" borderId="98" xfId="10" applyFont="1" applyFill="1" applyBorder="1" applyAlignment="1">
      <alignment horizontal="center" vertical="center"/>
    </xf>
    <xf numFmtId="0" fontId="9" fillId="0" borderId="4" xfId="10" applyFont="1" applyFill="1" applyBorder="1" applyAlignment="1">
      <alignment horizontal="center" vertical="center"/>
    </xf>
    <xf numFmtId="0" fontId="9" fillId="0" borderId="97" xfId="10" applyFont="1" applyFill="1" applyBorder="1" applyAlignment="1">
      <alignment horizontal="center" vertical="center"/>
    </xf>
    <xf numFmtId="0" fontId="41" fillId="0" borderId="99" xfId="10" applyFont="1" applyFill="1" applyBorder="1" applyAlignment="1">
      <alignment horizontal="left" vertical="top" wrapText="1"/>
    </xf>
    <xf numFmtId="0" fontId="41" fillId="0" borderId="100" xfId="10" applyFont="1" applyFill="1" applyBorder="1" applyAlignment="1">
      <alignment horizontal="left" vertical="top" wrapText="1"/>
    </xf>
    <xf numFmtId="0" fontId="9" fillId="0" borderId="96" xfId="10" applyFont="1" applyFill="1" applyBorder="1" applyAlignment="1">
      <alignment horizontal="center" vertical="center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0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87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34" fillId="0" borderId="0" xfId="8" applyFont="1" applyAlignment="1">
      <alignment horizontal="center"/>
    </xf>
  </cellXfs>
  <cellStyles count="11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 4" xfId="9" xr:uid="{00000000-0005-0000-0000-000006000000}"/>
    <cellStyle name="Normal_05.DOVH Summary Dep SIN 033A" xfId="10" xr:uid="{00000000-0005-0000-0000-000007000000}"/>
    <cellStyle name="Normal_ERSH Pre-Arr Notice - VOY 033A._04. ERSH-SOUTHAMPTON-PRE-ARRIVAL NOTICE" xfId="8" xr:uid="{00000000-0005-0000-0000-000008000000}"/>
    <cellStyle name="Percent 2" xfId="6" xr:uid="{00000000-0005-0000-0000-000009000000}"/>
    <cellStyle name="Нормален" xfId="0" builtinId="0"/>
    <cellStyle name="標準 2" xfId="7" xr:uid="{00000000-0005-0000-0000-00000A000000}"/>
  </cellStyles>
  <dxfs count="1"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FFF66"/>
      <color rgb="FF33CCCC"/>
      <color rgb="FF00FF99"/>
      <color rgb="FF66FFFF"/>
      <color rgb="FF00FFFF"/>
      <color rgb="FFFF5050"/>
      <color rgb="FF99CCFF"/>
      <color rgb="FFCCFFCC"/>
      <color rgb="FFFFFF99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116</xdr:row>
      <xdr:rowOff>28575</xdr:rowOff>
    </xdr:from>
    <xdr:to>
      <xdr:col>76</xdr:col>
      <xdr:colOff>112059</xdr:colOff>
      <xdr:row>119</xdr:row>
      <xdr:rowOff>84604</xdr:rowOff>
    </xdr:to>
    <xdr:sp macro="" textlink="">
      <xdr:nvSpPr>
        <xdr:cNvPr id="40" name="STOWAGE_PLAN_DEFAULT_SHAPE_705477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107</xdr:row>
      <xdr:rowOff>24094</xdr:rowOff>
    </xdr:from>
    <xdr:to>
      <xdr:col>76</xdr:col>
      <xdr:colOff>89650</xdr:colOff>
      <xdr:row>110</xdr:row>
      <xdr:rowOff>81243</xdr:rowOff>
    </xdr:to>
    <xdr:sp macro="" textlink="">
      <xdr:nvSpPr>
        <xdr:cNvPr id="41" name="STOWAGE_PLAN_DEFAULT_SHAPE_53337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111</xdr:row>
      <xdr:rowOff>33618</xdr:rowOff>
    </xdr:from>
    <xdr:to>
      <xdr:col>51</xdr:col>
      <xdr:colOff>155737</xdr:colOff>
      <xdr:row>111</xdr:row>
      <xdr:rowOff>244899</xdr:rowOff>
    </xdr:to>
    <xdr:sp macro="" textlink="">
      <xdr:nvSpPr>
        <xdr:cNvPr id="42" name="STOWAGE_PLAN_DEFAULT_SHAPE_57946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111</xdr:row>
      <xdr:rowOff>33618</xdr:rowOff>
    </xdr:from>
    <xdr:to>
      <xdr:col>53</xdr:col>
      <xdr:colOff>89007</xdr:colOff>
      <xdr:row>111</xdr:row>
      <xdr:rowOff>244899</xdr:rowOff>
    </xdr:to>
    <xdr:sp macro="" textlink="">
      <xdr:nvSpPr>
        <xdr:cNvPr id="43" name="STOWAGE_PLAN_DEFAULT_SHAPE_2895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102</xdr:row>
      <xdr:rowOff>30256</xdr:rowOff>
    </xdr:from>
    <xdr:to>
      <xdr:col>51</xdr:col>
      <xdr:colOff>189355</xdr:colOff>
      <xdr:row>102</xdr:row>
      <xdr:rowOff>241537</xdr:rowOff>
    </xdr:to>
    <xdr:sp macro="" textlink="">
      <xdr:nvSpPr>
        <xdr:cNvPr id="44" name="STOWAGE_PLAN_DEFAULT_SHAPE_30191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102</xdr:row>
      <xdr:rowOff>30256</xdr:rowOff>
    </xdr:from>
    <xdr:to>
      <xdr:col>53</xdr:col>
      <xdr:colOff>122625</xdr:colOff>
      <xdr:row>102</xdr:row>
      <xdr:rowOff>241537</xdr:rowOff>
    </xdr:to>
    <xdr:sp macro="" textlink="">
      <xdr:nvSpPr>
        <xdr:cNvPr id="45" name="STOWAGE_PLAN_DEFAULT_SHAPE_77466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127</xdr:row>
      <xdr:rowOff>11205</xdr:rowOff>
    </xdr:from>
    <xdr:to>
      <xdr:col>43</xdr:col>
      <xdr:colOff>156882</xdr:colOff>
      <xdr:row>136</xdr:row>
      <xdr:rowOff>1158</xdr:rowOff>
    </xdr:to>
    <xdr:sp macro="" textlink="">
      <xdr:nvSpPr>
        <xdr:cNvPr id="64" name="STOWAGE_PLAN_DEFAULT_SHAPE_14017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117</xdr:row>
      <xdr:rowOff>235324</xdr:rowOff>
    </xdr:from>
    <xdr:to>
      <xdr:col>43</xdr:col>
      <xdr:colOff>168088</xdr:colOff>
      <xdr:row>126</xdr:row>
      <xdr:rowOff>225276</xdr:rowOff>
    </xdr:to>
    <xdr:sp macro="" textlink="">
      <xdr:nvSpPr>
        <xdr:cNvPr id="80" name="STOWAGE_PLAN_DEFAULT_SHAPE_76064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108</xdr:row>
      <xdr:rowOff>219635</xdr:rowOff>
    </xdr:from>
    <xdr:to>
      <xdr:col>43</xdr:col>
      <xdr:colOff>141194</xdr:colOff>
      <xdr:row>117</xdr:row>
      <xdr:rowOff>209588</xdr:rowOff>
    </xdr:to>
    <xdr:sp macro="" textlink="">
      <xdr:nvSpPr>
        <xdr:cNvPr id="81" name="STOWAGE_PLAN_DEFAULT_SHAPE_81440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126</xdr:row>
      <xdr:rowOff>212911</xdr:rowOff>
    </xdr:from>
    <xdr:to>
      <xdr:col>70</xdr:col>
      <xdr:colOff>156882</xdr:colOff>
      <xdr:row>135</xdr:row>
      <xdr:rowOff>202863</xdr:rowOff>
    </xdr:to>
    <xdr:sp macro="" textlink="">
      <xdr:nvSpPr>
        <xdr:cNvPr id="82" name="STOWAGE_PLAN_DEFAULT_SHAPE_70896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118</xdr:row>
      <xdr:rowOff>22412</xdr:rowOff>
    </xdr:from>
    <xdr:to>
      <xdr:col>70</xdr:col>
      <xdr:colOff>145676</xdr:colOff>
      <xdr:row>127</xdr:row>
      <xdr:rowOff>12364</xdr:rowOff>
    </xdr:to>
    <xdr:sp macro="" textlink="">
      <xdr:nvSpPr>
        <xdr:cNvPr id="83" name="STOWAGE_PLAN_DEFAULT_SHAPE_4534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108</xdr:row>
      <xdr:rowOff>242047</xdr:rowOff>
    </xdr:from>
    <xdr:to>
      <xdr:col>70</xdr:col>
      <xdr:colOff>163605</xdr:colOff>
      <xdr:row>117</xdr:row>
      <xdr:rowOff>232000</xdr:rowOff>
    </xdr:to>
    <xdr:sp macro="" textlink="">
      <xdr:nvSpPr>
        <xdr:cNvPr id="84" name="STOWAGE_PLAN_DEFAULT_SHAPE_41399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100</xdr:row>
      <xdr:rowOff>0</xdr:rowOff>
    </xdr:from>
    <xdr:to>
      <xdr:col>43</xdr:col>
      <xdr:colOff>168087</xdr:colOff>
      <xdr:row>108</xdr:row>
      <xdr:rowOff>236481</xdr:rowOff>
    </xdr:to>
    <xdr:sp macro="" textlink="">
      <xdr:nvSpPr>
        <xdr:cNvPr id="85" name="STOWAGE_PLAN_DEFAULT_SHAPE_86253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100</xdr:row>
      <xdr:rowOff>1</xdr:rowOff>
    </xdr:from>
    <xdr:to>
      <xdr:col>70</xdr:col>
      <xdr:colOff>168087</xdr:colOff>
      <xdr:row>108</xdr:row>
      <xdr:rowOff>236482</xdr:rowOff>
    </xdr:to>
    <xdr:sp macro="" textlink="">
      <xdr:nvSpPr>
        <xdr:cNvPr id="101" name="STOWAGE_PLAN_DEFAULT_SHAPE_79040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130677</xdr:colOff>
      <xdr:row>101</xdr:row>
      <xdr:rowOff>95121</xdr:rowOff>
    </xdr:from>
    <xdr:to>
      <xdr:col>2</xdr:col>
      <xdr:colOff>53597</xdr:colOff>
      <xdr:row>103</xdr:row>
      <xdr:rowOff>174923</xdr:rowOff>
    </xdr:to>
    <xdr:sp macro="" textlink="">
      <xdr:nvSpPr>
        <xdr:cNvPr id="102" name="STOWAGE_PLAN_DEFAULT_SHAPE_37349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rrowheads="1"/>
        </xdr:cNvSpPr>
      </xdr:nvSpPr>
      <xdr:spPr bwMode="auto">
        <a:xfrm rot="15439430">
          <a:off x="102662" y="22299577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32467</xdr:colOff>
      <xdr:row>99</xdr:row>
      <xdr:rowOff>151542</xdr:rowOff>
    </xdr:from>
    <xdr:to>
      <xdr:col>1</xdr:col>
      <xdr:colOff>145887</xdr:colOff>
      <xdr:row>101</xdr:row>
      <xdr:rowOff>231344</xdr:rowOff>
    </xdr:to>
    <xdr:sp macro="" textlink="">
      <xdr:nvSpPr>
        <xdr:cNvPr id="103" name="STOWAGE_PLAN_DEFAULT_SHAPE_961857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rrowheads="1"/>
        </xdr:cNvSpPr>
      </xdr:nvSpPr>
      <xdr:spPr bwMode="auto">
        <a:xfrm rot="15439430" flipH="1">
          <a:off x="4452" y="21862939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11206</xdr:colOff>
      <xdr:row>33</xdr:row>
      <xdr:rowOff>11206</xdr:rowOff>
    </xdr:from>
    <xdr:to>
      <xdr:col>47</xdr:col>
      <xdr:colOff>184131</xdr:colOff>
      <xdr:row>42</xdr:row>
      <xdr:rowOff>0</xdr:rowOff>
    </xdr:to>
    <xdr:sp macro="" textlink="">
      <xdr:nvSpPr>
        <xdr:cNvPr id="104" name="STOWAGE_PLAN_DEFAULT_SHAPE_871359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42</xdr:row>
      <xdr:rowOff>22413</xdr:rowOff>
    </xdr:from>
    <xdr:to>
      <xdr:col>47</xdr:col>
      <xdr:colOff>172924</xdr:colOff>
      <xdr:row>51</xdr:row>
      <xdr:rowOff>11206</xdr:rowOff>
    </xdr:to>
    <xdr:sp macro="" textlink="">
      <xdr:nvSpPr>
        <xdr:cNvPr id="105" name="STOWAGE_PLAN_DEFAULT_SHAPE_5623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50</xdr:row>
      <xdr:rowOff>246528</xdr:rowOff>
    </xdr:from>
    <xdr:to>
      <xdr:col>48</xdr:col>
      <xdr:colOff>4837</xdr:colOff>
      <xdr:row>59</xdr:row>
      <xdr:rowOff>235322</xdr:rowOff>
    </xdr:to>
    <xdr:sp macro="" textlink="">
      <xdr:nvSpPr>
        <xdr:cNvPr id="106" name="STOWAGE_PLAN_DEFAULT_SHAPE_949462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60</xdr:row>
      <xdr:rowOff>0</xdr:rowOff>
    </xdr:from>
    <xdr:to>
      <xdr:col>47</xdr:col>
      <xdr:colOff>172925</xdr:colOff>
      <xdr:row>77</xdr:row>
      <xdr:rowOff>11206</xdr:rowOff>
    </xdr:to>
    <xdr:sp macro="" textlink="">
      <xdr:nvSpPr>
        <xdr:cNvPr id="107" name="STOWAGE_PLAN_DEFAULT_SHAPE_363983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23813</xdr:colOff>
      <xdr:row>77</xdr:row>
      <xdr:rowOff>11204</xdr:rowOff>
    </xdr:from>
    <xdr:to>
      <xdr:col>47</xdr:col>
      <xdr:colOff>172925</xdr:colOff>
      <xdr:row>96</xdr:row>
      <xdr:rowOff>232172</xdr:rowOff>
    </xdr:to>
    <xdr:sp macro="" textlink="">
      <xdr:nvSpPr>
        <xdr:cNvPr id="108" name="STOWAGE_PLAN_DEFAULT_SHAPE_52481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566172" y="16501360"/>
          <a:ext cx="3768612" cy="4971562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42</xdr:row>
      <xdr:rowOff>1</xdr:rowOff>
    </xdr:from>
    <xdr:to>
      <xdr:col>94</xdr:col>
      <xdr:colOff>184131</xdr:colOff>
      <xdr:row>50</xdr:row>
      <xdr:rowOff>235323</xdr:rowOff>
    </xdr:to>
    <xdr:sp macro="" textlink="">
      <xdr:nvSpPr>
        <xdr:cNvPr id="109" name="STOWAGE_PLAN_DEFAULT_SHAPE_767035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51</xdr:row>
      <xdr:rowOff>11204</xdr:rowOff>
    </xdr:from>
    <xdr:to>
      <xdr:col>95</xdr:col>
      <xdr:colOff>179295</xdr:colOff>
      <xdr:row>68</xdr:row>
      <xdr:rowOff>224117</xdr:rowOff>
    </xdr:to>
    <xdr:sp macro="" textlink="">
      <xdr:nvSpPr>
        <xdr:cNvPr id="110" name="STOWAGE_PLAN_DEFAULT_SHAPE_53500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69</xdr:row>
      <xdr:rowOff>22411</xdr:rowOff>
    </xdr:from>
    <xdr:to>
      <xdr:col>70</xdr:col>
      <xdr:colOff>184132</xdr:colOff>
      <xdr:row>77</xdr:row>
      <xdr:rowOff>235323</xdr:rowOff>
    </xdr:to>
    <xdr:sp macro="" textlink="">
      <xdr:nvSpPr>
        <xdr:cNvPr id="111" name="STOWAGE_PLAN_DEFAULT_SHAPE_59240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78</xdr:row>
      <xdr:rowOff>11206</xdr:rowOff>
    </xdr:from>
    <xdr:to>
      <xdr:col>78</xdr:col>
      <xdr:colOff>184131</xdr:colOff>
      <xdr:row>96</xdr:row>
      <xdr:rowOff>224116</xdr:rowOff>
    </xdr:to>
    <xdr:sp macro="" textlink="">
      <xdr:nvSpPr>
        <xdr:cNvPr id="112" name="STOWAGE_PLAN_DEFAULT_SHAPE_46865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STOWAGE_PLAN_DEFAULT_SHAPE_29813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32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1</xdr:col>
      <xdr:colOff>130969</xdr:colOff>
      <xdr:row>91</xdr:row>
      <xdr:rowOff>24606</xdr:rowOff>
    </xdr:from>
    <xdr:to>
      <xdr:col>8</xdr:col>
      <xdr:colOff>71437</xdr:colOff>
      <xdr:row>93</xdr:row>
      <xdr:rowOff>11906</xdr:rowOff>
    </xdr:to>
    <xdr:sp macro="" textlink="">
      <xdr:nvSpPr>
        <xdr:cNvPr id="8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5782" y="22194044"/>
          <a:ext cx="1273968" cy="487362"/>
        </a:xfrm>
        <a:prstGeom prst="rect">
          <a:avLst/>
        </a:prstGeom>
        <a:solidFill>
          <a:srgbClr val="00FF99">
            <a:alpha val="89804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9</xdr:col>
      <xdr:colOff>139461</xdr:colOff>
      <xdr:row>136</xdr:row>
      <xdr:rowOff>226243</xdr:rowOff>
    </xdr:from>
    <xdr:to>
      <xdr:col>20</xdr:col>
      <xdr:colOff>186439</xdr:colOff>
      <xdr:row>139</xdr:row>
      <xdr:rowOff>12956</xdr:rowOff>
    </xdr:to>
    <xdr:sp macro="" textlink="">
      <xdr:nvSpPr>
        <xdr:cNvPr id="97" name="STOWAGE_PLAN_DEFAULT_SHAPE_622635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66873" y="31031214"/>
          <a:ext cx="2142478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2.13 m - over</a:t>
          </a:r>
        </a:p>
      </xdr:txBody>
    </xdr:sp>
    <xdr:clientData/>
  </xdr:twoCellAnchor>
  <xdr:twoCellAnchor>
    <xdr:from>
      <xdr:col>6</xdr:col>
      <xdr:colOff>26871</xdr:colOff>
      <xdr:row>120</xdr:row>
      <xdr:rowOff>19053</xdr:rowOff>
    </xdr:from>
    <xdr:to>
      <xdr:col>6</xdr:col>
      <xdr:colOff>126599</xdr:colOff>
      <xdr:row>121</xdr:row>
      <xdr:rowOff>221193</xdr:rowOff>
    </xdr:to>
    <xdr:sp macro="" textlink="">
      <xdr:nvSpPr>
        <xdr:cNvPr id="54" name="STOWAGE_PLAN_DEFAULT_SHAPE_829719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381538" y="26551470"/>
          <a:ext cx="99728" cy="445556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28874</xdr:colOff>
      <xdr:row>107</xdr:row>
      <xdr:rowOff>187324</xdr:rowOff>
    </xdr:from>
    <xdr:to>
      <xdr:col>15</xdr:col>
      <xdr:colOff>11248</xdr:colOff>
      <xdr:row>109</xdr:row>
      <xdr:rowOff>38994</xdr:rowOff>
    </xdr:to>
    <xdr:sp macro="" textlink="">
      <xdr:nvSpPr>
        <xdr:cNvPr id="55" name="STOWAGE_PLAN_DEFAULT_SHAPE_8245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145541" y="23555324"/>
          <a:ext cx="934874" cy="338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  <a:endParaRPr lang="en-US" sz="1100" b="1" u="sng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109</xdr:row>
      <xdr:rowOff>48220</xdr:rowOff>
    </xdr:from>
    <xdr:to>
      <xdr:col>9</xdr:col>
      <xdr:colOff>143523</xdr:colOff>
      <xdr:row>111</xdr:row>
      <xdr:rowOff>84202</xdr:rowOff>
    </xdr:to>
    <xdr:sp macro="" textlink="">
      <xdr:nvSpPr>
        <xdr:cNvPr id="56" name="STOWAGE_PLAN_DEFAULT_SHAPE_58910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7998" y="24196896"/>
          <a:ext cx="1272937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109</xdr:row>
      <xdr:rowOff>48220</xdr:rowOff>
    </xdr:from>
    <xdr:to>
      <xdr:col>21</xdr:col>
      <xdr:colOff>0</xdr:colOff>
      <xdr:row>111</xdr:row>
      <xdr:rowOff>84202</xdr:rowOff>
    </xdr:to>
    <xdr:sp macro="" textlink="">
      <xdr:nvSpPr>
        <xdr:cNvPr id="57" name="STOWAGE_PLAN_DEFAULT_SHAPE_98599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70934" y="24196896"/>
          <a:ext cx="2142478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LIFTER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111</xdr:row>
      <xdr:rowOff>83055</xdr:rowOff>
    </xdr:from>
    <xdr:to>
      <xdr:col>9</xdr:col>
      <xdr:colOff>143523</xdr:colOff>
      <xdr:row>113</xdr:row>
      <xdr:rowOff>116731</xdr:rowOff>
    </xdr:to>
    <xdr:sp macro="" textlink="">
      <xdr:nvSpPr>
        <xdr:cNvPr id="58" name="STOWAGE_PLAN_DEFAULT_SHAPE_910874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96753" y="24424722"/>
          <a:ext cx="1272937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111</xdr:row>
      <xdr:rowOff>84202</xdr:rowOff>
    </xdr:from>
    <xdr:to>
      <xdr:col>21</xdr:col>
      <xdr:colOff>0</xdr:colOff>
      <xdr:row>113</xdr:row>
      <xdr:rowOff>117878</xdr:rowOff>
    </xdr:to>
    <xdr:sp macro="" textlink="">
      <xdr:nvSpPr>
        <xdr:cNvPr id="59" name="STOWAGE_PLAN_DEFAULT_SHAPE_226844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069689" y="24425869"/>
          <a:ext cx="2142478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SERVICE 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113</xdr:row>
      <xdr:rowOff>117879</xdr:rowOff>
    </xdr:from>
    <xdr:to>
      <xdr:col>9</xdr:col>
      <xdr:colOff>143523</xdr:colOff>
      <xdr:row>115</xdr:row>
      <xdr:rowOff>153861</xdr:rowOff>
    </xdr:to>
    <xdr:sp macro="" textlink="">
      <xdr:nvSpPr>
        <xdr:cNvPr id="60" name="STOWAGE_PLAN_DEFAULT_SHAPE_69504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96753" y="24946379"/>
          <a:ext cx="1272937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113</xdr:row>
      <xdr:rowOff>117879</xdr:rowOff>
    </xdr:from>
    <xdr:to>
      <xdr:col>21</xdr:col>
      <xdr:colOff>0</xdr:colOff>
      <xdr:row>115</xdr:row>
      <xdr:rowOff>153861</xdr:rowOff>
    </xdr:to>
    <xdr:sp macro="" textlink="">
      <xdr:nvSpPr>
        <xdr:cNvPr id="61" name="STOWAGE_PLAN_DEFAULT_SHAPE_979906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69689" y="24946379"/>
          <a:ext cx="2142478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FORK LIFT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11767</xdr:colOff>
      <xdr:row>119</xdr:row>
      <xdr:rowOff>224993</xdr:rowOff>
    </xdr:from>
    <xdr:to>
      <xdr:col>9</xdr:col>
      <xdr:colOff>141704</xdr:colOff>
      <xdr:row>122</xdr:row>
      <xdr:rowOff>15253</xdr:rowOff>
    </xdr:to>
    <xdr:sp macro="" textlink="">
      <xdr:nvSpPr>
        <xdr:cNvPr id="62" name="STOWAGE_PLAN_DEFAULT_SHAPE_243907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794934" y="26513993"/>
          <a:ext cx="1272937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141703</xdr:colOff>
      <xdr:row>119</xdr:row>
      <xdr:rowOff>224993</xdr:rowOff>
    </xdr:from>
    <xdr:to>
      <xdr:col>20</xdr:col>
      <xdr:colOff>188681</xdr:colOff>
      <xdr:row>122</xdr:row>
      <xdr:rowOff>15253</xdr:rowOff>
    </xdr:to>
    <xdr:sp macro="" textlink="">
      <xdr:nvSpPr>
        <xdr:cNvPr id="63" name="STOWAGE_PLAN_DEFAULT_SHAPE_533820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67870" y="26513993"/>
          <a:ext cx="2142478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BULKHEAD DOOR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124</xdr:row>
      <xdr:rowOff>39889</xdr:rowOff>
    </xdr:from>
    <xdr:to>
      <xdr:col>9</xdr:col>
      <xdr:colOff>139463</xdr:colOff>
      <xdr:row>126</xdr:row>
      <xdr:rowOff>77904</xdr:rowOff>
    </xdr:to>
    <xdr:sp macro="" textlink="">
      <xdr:nvSpPr>
        <xdr:cNvPr id="65" name="STOWAGE_PLAN_DEFAULT_SHAPE_10636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92693" y="27545972"/>
          <a:ext cx="1272937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124</xdr:row>
      <xdr:rowOff>39889</xdr:rowOff>
    </xdr:from>
    <xdr:to>
      <xdr:col>20</xdr:col>
      <xdr:colOff>186440</xdr:colOff>
      <xdr:row>126</xdr:row>
      <xdr:rowOff>77904</xdr:rowOff>
    </xdr:to>
    <xdr:sp macro="" textlink="">
      <xdr:nvSpPr>
        <xdr:cNvPr id="66" name="STOWAGE_PLAN_DEFAULT_SHAPE_99931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065629" y="27545972"/>
          <a:ext cx="2142478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DIRECTION OF STOWAGE / HAND SIDE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126</xdr:row>
      <xdr:rowOff>77905</xdr:rowOff>
    </xdr:from>
    <xdr:to>
      <xdr:col>9</xdr:col>
      <xdr:colOff>139463</xdr:colOff>
      <xdr:row>128</xdr:row>
      <xdr:rowOff>109547</xdr:rowOff>
    </xdr:to>
    <xdr:sp macro="" textlink="">
      <xdr:nvSpPr>
        <xdr:cNvPr id="67" name="STOWAGE_PLAN_DEFAULT_SHAPE_6761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792693" y="28070822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126</xdr:row>
      <xdr:rowOff>77905</xdr:rowOff>
    </xdr:from>
    <xdr:to>
      <xdr:col>20</xdr:col>
      <xdr:colOff>186440</xdr:colOff>
      <xdr:row>128</xdr:row>
      <xdr:rowOff>109547</xdr:rowOff>
    </xdr:to>
    <xdr:sp macro="" textlink="">
      <xdr:nvSpPr>
        <xdr:cNvPr id="68" name="STOWAGE_PLAN_DEFAULT_SHAPE_15703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65629" y="28070822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DISCHARGING ROUTE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187247</xdr:colOff>
      <xdr:row>127</xdr:row>
      <xdr:rowOff>180350</xdr:rowOff>
    </xdr:from>
    <xdr:to>
      <xdr:col>7</xdr:col>
      <xdr:colOff>152240</xdr:colOff>
      <xdr:row>127</xdr:row>
      <xdr:rowOff>180350</xdr:rowOff>
    </xdr:to>
    <xdr:sp macro="" textlink="">
      <xdr:nvSpPr>
        <xdr:cNvPr id="78" name="STOWAGE_PLAN_DEFAULT_SHAPE_57512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H="1" flipV="1">
          <a:off x="1160914" y="28416683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187247</xdr:colOff>
      <xdr:row>127</xdr:row>
      <xdr:rowOff>2765</xdr:rowOff>
    </xdr:from>
    <xdr:to>
      <xdr:col>7</xdr:col>
      <xdr:colOff>152240</xdr:colOff>
      <xdr:row>127</xdr:row>
      <xdr:rowOff>2765</xdr:rowOff>
    </xdr:to>
    <xdr:sp macro="" textlink="">
      <xdr:nvSpPr>
        <xdr:cNvPr id="79" name="STOWAGE_PLAN_DEFAULT_SHAPE_100043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1160914" y="28239098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105892</xdr:colOff>
      <xdr:row>126</xdr:row>
      <xdr:rowOff>103851</xdr:rowOff>
    </xdr:from>
    <xdr:to>
      <xdr:col>4</xdr:col>
      <xdr:colOff>126325</xdr:colOff>
      <xdr:row>128</xdr:row>
      <xdr:rowOff>83601</xdr:rowOff>
    </xdr:to>
    <xdr:sp macro="" textlink="">
      <xdr:nvSpPr>
        <xdr:cNvPr id="76" name="STOWAGE_PLAN_DEFAULT_SHAPE_103013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 flipH="1" flipV="1">
          <a:off x="889059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22664</xdr:colOff>
      <xdr:row>126</xdr:row>
      <xdr:rowOff>103851</xdr:rowOff>
    </xdr:from>
    <xdr:to>
      <xdr:col>9</xdr:col>
      <xdr:colOff>43097</xdr:colOff>
      <xdr:row>128</xdr:row>
      <xdr:rowOff>83601</xdr:rowOff>
    </xdr:to>
    <xdr:sp macro="" textlink="">
      <xdr:nvSpPr>
        <xdr:cNvPr id="77" name="STOWAGE_PLAN_DEFAULT_SHAPE_79880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 flipV="1">
          <a:off x="1758331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115309</xdr:colOff>
      <xdr:row>118</xdr:row>
      <xdr:rowOff>154853</xdr:rowOff>
    </xdr:from>
    <xdr:to>
      <xdr:col>6</xdr:col>
      <xdr:colOff>119111</xdr:colOff>
      <xdr:row>119</xdr:row>
      <xdr:rowOff>9273</xdr:rowOff>
    </xdr:to>
    <xdr:sp macro="" textlink="">
      <xdr:nvSpPr>
        <xdr:cNvPr id="74" name="STOWAGE_PLAN_DEFAULT_SHAPE_284452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1088976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34935</xdr:colOff>
      <xdr:row>118</xdr:row>
      <xdr:rowOff>154853</xdr:rowOff>
    </xdr:from>
    <xdr:to>
      <xdr:col>8</xdr:col>
      <xdr:colOff>38737</xdr:colOff>
      <xdr:row>119</xdr:row>
      <xdr:rowOff>9273</xdr:rowOff>
    </xdr:to>
    <xdr:sp macro="" textlink="">
      <xdr:nvSpPr>
        <xdr:cNvPr id="75" name="STOWAGE_PLAN_DEFAULT_SHAPE_45645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 flipH="1">
          <a:off x="1389602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10254</xdr:colOff>
      <xdr:row>117</xdr:row>
      <xdr:rowOff>187244</xdr:rowOff>
    </xdr:from>
    <xdr:to>
      <xdr:col>9</xdr:col>
      <xdr:colOff>140191</xdr:colOff>
      <xdr:row>119</xdr:row>
      <xdr:rowOff>220294</xdr:rowOff>
    </xdr:to>
    <xdr:sp macro="" textlink="">
      <xdr:nvSpPr>
        <xdr:cNvPr id="72" name="STOWAGE_PLAN_DEFAULT_SHAPE_295744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793421" y="25989411"/>
          <a:ext cx="1272937" cy="51988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140188</xdr:colOff>
      <xdr:row>117</xdr:row>
      <xdr:rowOff>187244</xdr:rowOff>
    </xdr:from>
    <xdr:to>
      <xdr:col>20</xdr:col>
      <xdr:colOff>190499</xdr:colOff>
      <xdr:row>119</xdr:row>
      <xdr:rowOff>220294</xdr:rowOff>
    </xdr:to>
    <xdr:sp macro="" textlink="">
      <xdr:nvSpPr>
        <xdr:cNvPr id="73" name="STOWAGE_PLAN_DEFAULT_SHAPE_381973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67600" y="26308156"/>
          <a:ext cx="2145811" cy="5261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SHORE RAMPWAY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130</xdr:row>
      <xdr:rowOff>141295</xdr:rowOff>
    </xdr:from>
    <xdr:to>
      <xdr:col>9</xdr:col>
      <xdr:colOff>139463</xdr:colOff>
      <xdr:row>132</xdr:row>
      <xdr:rowOff>172936</xdr:rowOff>
    </xdr:to>
    <xdr:sp macro="" textlink="">
      <xdr:nvSpPr>
        <xdr:cNvPr id="86" name="STOWAGE_PLAN_DEFAULT_SHAPE_30094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93938" y="29467089"/>
          <a:ext cx="1272937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130</xdr:row>
      <xdr:rowOff>141295</xdr:rowOff>
    </xdr:from>
    <xdr:to>
      <xdr:col>20</xdr:col>
      <xdr:colOff>186440</xdr:colOff>
      <xdr:row>132</xdr:row>
      <xdr:rowOff>172936</xdr:rowOff>
    </xdr:to>
    <xdr:sp macro="" textlink="">
      <xdr:nvSpPr>
        <xdr:cNvPr id="87" name="STOWAGE_PLAN_DEFAULT_SHAPE_948477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66874" y="29467089"/>
          <a:ext cx="2142478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INNER RAMP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154418</xdr:colOff>
      <xdr:row>131</xdr:row>
      <xdr:rowOff>3637</xdr:rowOff>
    </xdr:from>
    <xdr:to>
      <xdr:col>9</xdr:col>
      <xdr:colOff>2372</xdr:colOff>
      <xdr:row>132</xdr:row>
      <xdr:rowOff>71581</xdr:rowOff>
    </xdr:to>
    <xdr:sp macro="" textlink="">
      <xdr:nvSpPr>
        <xdr:cNvPr id="88" name="STOWAGE_PLAN_DEFAULT_SHAPE_97973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V="1">
          <a:off x="938830" y="29575961"/>
          <a:ext cx="990954" cy="31447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9526</xdr:colOff>
      <xdr:row>132</xdr:row>
      <xdr:rowOff>169749</xdr:rowOff>
    </xdr:from>
    <xdr:to>
      <xdr:col>9</xdr:col>
      <xdr:colOff>139463</xdr:colOff>
      <xdr:row>134</xdr:row>
      <xdr:rowOff>201391</xdr:rowOff>
    </xdr:to>
    <xdr:sp macro="" textlink="">
      <xdr:nvSpPr>
        <xdr:cNvPr id="91" name="STOWAGE_PLAN_DEFAULT_SHAPE_40133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793938" y="29988602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132</xdr:row>
      <xdr:rowOff>169749</xdr:rowOff>
    </xdr:from>
    <xdr:to>
      <xdr:col>20</xdr:col>
      <xdr:colOff>186440</xdr:colOff>
      <xdr:row>134</xdr:row>
      <xdr:rowOff>201391</xdr:rowOff>
    </xdr:to>
    <xdr:sp macro="" textlink="">
      <xdr:nvSpPr>
        <xdr:cNvPr id="92" name="STOWAGE_PLAN_DEFAULT_SHAPE_278253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66874" y="29988602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Watertight ramp cover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133</xdr:row>
      <xdr:rowOff>47282</xdr:rowOff>
    </xdr:from>
    <xdr:to>
      <xdr:col>8</xdr:col>
      <xdr:colOff>161925</xdr:colOff>
      <xdr:row>134</xdr:row>
      <xdr:rowOff>66116</xdr:rowOff>
    </xdr:to>
    <xdr:sp macro="" textlink="">
      <xdr:nvSpPr>
        <xdr:cNvPr id="14" name="STOWAGE_PLAN_DEFAULT_SHAPE_16042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84437" y="30112664"/>
          <a:ext cx="914400" cy="265364"/>
        </a:xfrm>
        <a:prstGeom prst="rect">
          <a:avLst/>
        </a:prstGeom>
        <a:noFill/>
        <a:ln w="19050">
          <a:solidFill>
            <a:sysClr val="windowText" lastClr="000000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9526</xdr:colOff>
      <xdr:row>134</xdr:row>
      <xdr:rowOff>197996</xdr:rowOff>
    </xdr:from>
    <xdr:to>
      <xdr:col>9</xdr:col>
      <xdr:colOff>139463</xdr:colOff>
      <xdr:row>136</xdr:row>
      <xdr:rowOff>229638</xdr:rowOff>
    </xdr:to>
    <xdr:sp macro="" textlink="">
      <xdr:nvSpPr>
        <xdr:cNvPr id="93" name="STOWAGE_PLAN_DEFAULT_SHAPE_162806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793938" y="30509908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134</xdr:row>
      <xdr:rowOff>197996</xdr:rowOff>
    </xdr:from>
    <xdr:to>
      <xdr:col>20</xdr:col>
      <xdr:colOff>186440</xdr:colOff>
      <xdr:row>136</xdr:row>
      <xdr:rowOff>229638</xdr:rowOff>
    </xdr:to>
    <xdr:sp macro="" textlink="">
      <xdr:nvSpPr>
        <xdr:cNvPr id="94" name="STOWAGE_PLAN_DEFAULT_SHAPE_64652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66874" y="30509908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1.78 - 2.12 m</a:t>
          </a:r>
        </a:p>
      </xdr:txBody>
    </xdr:sp>
    <xdr:clientData/>
  </xdr:twoCellAnchor>
  <xdr:twoCellAnchor>
    <xdr:from>
      <xdr:col>3</xdr:col>
      <xdr:colOff>9525</xdr:colOff>
      <xdr:row>136</xdr:row>
      <xdr:rowOff>226243</xdr:rowOff>
    </xdr:from>
    <xdr:to>
      <xdr:col>9</xdr:col>
      <xdr:colOff>139462</xdr:colOff>
      <xdr:row>139</xdr:row>
      <xdr:rowOff>12956</xdr:rowOff>
    </xdr:to>
    <xdr:sp macro="" textlink="">
      <xdr:nvSpPr>
        <xdr:cNvPr id="96" name="STOWAGE_PLAN_DEFAULT_SHAPE_41003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93937" y="31031214"/>
          <a:ext cx="1272937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146164</xdr:colOff>
      <xdr:row>124</xdr:row>
      <xdr:rowOff>217787</xdr:rowOff>
    </xdr:from>
    <xdr:to>
      <xdr:col>8</xdr:col>
      <xdr:colOff>169977</xdr:colOff>
      <xdr:row>125</xdr:row>
      <xdr:rowOff>107731</xdr:rowOff>
    </xdr:to>
    <xdr:sp macro="" textlink="">
      <xdr:nvSpPr>
        <xdr:cNvPr id="113" name="STOWAGE_PLAN_DEFAULT_SHAPE_412726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/>
        </xdr:cNvSpPr>
      </xdr:nvSpPr>
      <xdr:spPr bwMode="auto">
        <a:xfrm rot="10800000" flipH="1" flipV="1">
          <a:off x="929331" y="27723870"/>
          <a:ext cx="976313" cy="133361"/>
        </a:xfrm>
        <a:custGeom>
          <a:avLst/>
          <a:gdLst>
            <a:gd name="T0" fmla="*/ 0 w 1191201"/>
            <a:gd name="T1" fmla="*/ 461990580 h 58630"/>
            <a:gd name="T2" fmla="*/ 0 w 1191201"/>
            <a:gd name="T3" fmla="*/ 46199058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62245</xdr:colOff>
      <xdr:row>137</xdr:row>
      <xdr:rowOff>84602</xdr:rowOff>
    </xdr:from>
    <xdr:to>
      <xdr:col>7</xdr:col>
      <xdr:colOff>145676</xdr:colOff>
      <xdr:row>138</xdr:row>
      <xdr:rowOff>112059</xdr:rowOff>
    </xdr:to>
    <xdr:sp macro="" textlink="">
      <xdr:nvSpPr>
        <xdr:cNvPr id="90" name="STOWAGE_PLAN_DEFAULT_SHAPE_71266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rrowheads="1"/>
        </xdr:cNvSpPr>
      </xdr:nvSpPr>
      <xdr:spPr bwMode="auto">
        <a:xfrm>
          <a:off x="1418157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132789</xdr:colOff>
      <xdr:row>137</xdr:row>
      <xdr:rowOff>84602</xdr:rowOff>
    </xdr:from>
    <xdr:to>
      <xdr:col>6</xdr:col>
      <xdr:colOff>25720</xdr:colOff>
      <xdr:row>138</xdr:row>
      <xdr:rowOff>112059</xdr:rowOff>
    </xdr:to>
    <xdr:sp macro="" textlink="">
      <xdr:nvSpPr>
        <xdr:cNvPr id="114" name="STOWAGE_PLAN_DEFAULT_SHAPE_326174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rrowheads="1"/>
        </xdr:cNvSpPr>
      </xdr:nvSpPr>
      <xdr:spPr bwMode="auto">
        <a:xfrm>
          <a:off x="1107701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54349</xdr:colOff>
      <xdr:row>135</xdr:row>
      <xdr:rowOff>50983</xdr:rowOff>
    </xdr:from>
    <xdr:to>
      <xdr:col>6</xdr:col>
      <xdr:colOff>145676</xdr:colOff>
      <xdr:row>136</xdr:row>
      <xdr:rowOff>67235</xdr:rowOff>
    </xdr:to>
    <xdr:sp macro="" textlink="">
      <xdr:nvSpPr>
        <xdr:cNvPr id="115" name="STOWAGE_PLAN_DEFAULT_SHAPE_633116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rrowheads="1"/>
        </xdr:cNvSpPr>
      </xdr:nvSpPr>
      <xdr:spPr bwMode="auto">
        <a:xfrm>
          <a:off x="1219761" y="30609424"/>
          <a:ext cx="281827" cy="262782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15</xdr:col>
      <xdr:colOff>67235</xdr:colOff>
      <xdr:row>35</xdr:row>
      <xdr:rowOff>11207</xdr:rowOff>
    </xdr:from>
    <xdr:to>
      <xdr:col>22</xdr:col>
      <xdr:colOff>3736</xdr:colOff>
      <xdr:row>35</xdr:row>
      <xdr:rowOff>201705</xdr:rowOff>
    </xdr:to>
    <xdr:sp macro="" textlink="">
      <xdr:nvSpPr>
        <xdr:cNvPr id="123" name="STOW_DIRECTION_20201021231228_DRW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flipV="1">
          <a:off x="3134285" y="5945282"/>
          <a:ext cx="1270001" cy="190498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168087</xdr:colOff>
      <xdr:row>29</xdr:row>
      <xdr:rowOff>33616</xdr:rowOff>
    </xdr:from>
    <xdr:to>
      <xdr:col>22</xdr:col>
      <xdr:colOff>104588</xdr:colOff>
      <xdr:row>29</xdr:row>
      <xdr:rowOff>210295</xdr:rowOff>
    </xdr:to>
    <xdr:sp macro="" textlink="">
      <xdr:nvSpPr>
        <xdr:cNvPr id="124" name="STOW_DIRECTION_20201021231242_DRW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10800000" flipV="1">
          <a:off x="3235137" y="4481791"/>
          <a:ext cx="1270001" cy="17667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33617</xdr:colOff>
      <xdr:row>29</xdr:row>
      <xdr:rowOff>223744</xdr:rowOff>
    </xdr:from>
    <xdr:to>
      <xdr:col>3</xdr:col>
      <xdr:colOff>67236</xdr:colOff>
      <xdr:row>35</xdr:row>
      <xdr:rowOff>8966</xdr:rowOff>
    </xdr:to>
    <xdr:sp macro="" textlink="">
      <xdr:nvSpPr>
        <xdr:cNvPr id="125" name="STOW_DIRECTION_20201021231253_DRW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V="1">
          <a:off x="100666" y="5195420"/>
          <a:ext cx="1271122" cy="2241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180340</xdr:colOff>
      <xdr:row>29</xdr:row>
      <xdr:rowOff>7620</xdr:rowOff>
    </xdr:from>
    <xdr:to>
      <xdr:col>42</xdr:col>
      <xdr:colOff>127000</xdr:colOff>
      <xdr:row>29</xdr:row>
      <xdr:rowOff>190500</xdr:rowOff>
    </xdr:to>
    <xdr:sp macro="" textlink="">
      <xdr:nvSpPr>
        <xdr:cNvPr id="126" name="STOW_DIRECTION_20201021231242_DRW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10800000" flipV="1">
          <a:off x="7057390" y="4455795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22413</xdr:colOff>
      <xdr:row>35</xdr:row>
      <xdr:rowOff>67236</xdr:rowOff>
    </xdr:from>
    <xdr:to>
      <xdr:col>41</xdr:col>
      <xdr:colOff>149414</xdr:colOff>
      <xdr:row>36</xdr:row>
      <xdr:rowOff>11205</xdr:rowOff>
    </xdr:to>
    <xdr:sp macro="" textlink="">
      <xdr:nvSpPr>
        <xdr:cNvPr id="127" name="STOW_DIRECTION_20201021231228_DRW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flipV="1">
          <a:off x="6899463" y="6001311"/>
          <a:ext cx="1270001" cy="1916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112058</xdr:colOff>
      <xdr:row>33</xdr:row>
      <xdr:rowOff>89646</xdr:rowOff>
    </xdr:from>
    <xdr:to>
      <xdr:col>51</xdr:col>
      <xdr:colOff>89650</xdr:colOff>
      <xdr:row>36</xdr:row>
      <xdr:rowOff>98611</xdr:rowOff>
    </xdr:to>
    <xdr:sp macro="" textlink="">
      <xdr:nvSpPr>
        <xdr:cNvPr id="128" name="STOW_DIRECTION_20201021231712_DRW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-5400000" flipV="1">
          <a:off x="9554696" y="5820333"/>
          <a:ext cx="751915" cy="1680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156880</xdr:colOff>
      <xdr:row>31</xdr:row>
      <xdr:rowOff>112059</xdr:rowOff>
    </xdr:from>
    <xdr:to>
      <xdr:col>52</xdr:col>
      <xdr:colOff>89645</xdr:colOff>
      <xdr:row>32</xdr:row>
      <xdr:rowOff>1</xdr:rowOff>
    </xdr:to>
    <xdr:sp macro="" textlink="">
      <xdr:nvSpPr>
        <xdr:cNvPr id="129" name="STOW_DIRECTION_20201021231727_DRW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10800000" flipV="1">
          <a:off x="9510430" y="5055534"/>
          <a:ext cx="694765" cy="1355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33617</xdr:colOff>
      <xdr:row>35</xdr:row>
      <xdr:rowOff>33617</xdr:rowOff>
    </xdr:from>
    <xdr:to>
      <xdr:col>62</xdr:col>
      <xdr:colOff>170777</xdr:colOff>
      <xdr:row>35</xdr:row>
      <xdr:rowOff>216497</xdr:rowOff>
    </xdr:to>
    <xdr:sp macro="" textlink="">
      <xdr:nvSpPr>
        <xdr:cNvPr id="130" name="STOW_DIRECTION_20201021231242_DRW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10800000" flipV="1">
          <a:off x="10911167" y="5967692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56029</xdr:colOff>
      <xdr:row>29</xdr:row>
      <xdr:rowOff>56029</xdr:rowOff>
    </xdr:from>
    <xdr:to>
      <xdr:col>63</xdr:col>
      <xdr:colOff>2689</xdr:colOff>
      <xdr:row>29</xdr:row>
      <xdr:rowOff>238909</xdr:rowOff>
    </xdr:to>
    <xdr:sp macro="" textlink="">
      <xdr:nvSpPr>
        <xdr:cNvPr id="131" name="STOW_DIRECTION_20201021231242_DRW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10800000" flipV="1">
          <a:off x="10936941" y="448235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100853</xdr:colOff>
      <xdr:row>32</xdr:row>
      <xdr:rowOff>33618</xdr:rowOff>
    </xdr:from>
    <xdr:to>
      <xdr:col>70</xdr:col>
      <xdr:colOff>47513</xdr:colOff>
      <xdr:row>32</xdr:row>
      <xdr:rowOff>216498</xdr:rowOff>
    </xdr:to>
    <xdr:sp macro="" textlink="">
      <xdr:nvSpPr>
        <xdr:cNvPr id="132" name="STOW_DIRECTION_20201021231242_DRW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10800000" flipV="1">
          <a:off x="12311903" y="522474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21291</xdr:colOff>
      <xdr:row>33</xdr:row>
      <xdr:rowOff>227357</xdr:rowOff>
    </xdr:from>
    <xdr:to>
      <xdr:col>15</xdr:col>
      <xdr:colOff>21291</xdr:colOff>
      <xdr:row>35</xdr:row>
      <xdr:rowOff>44674</xdr:rowOff>
    </xdr:to>
    <xdr:sp macro="" textlink="">
      <xdr:nvSpPr>
        <xdr:cNvPr id="133" name="STOWAGE_PLAN_DEFAULT_SHAPE_58330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1564341" y="5666132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26</xdr:col>
      <xdr:colOff>22411</xdr:colOff>
      <xdr:row>33</xdr:row>
      <xdr:rowOff>190500</xdr:rowOff>
    </xdr:from>
    <xdr:to>
      <xdr:col>34</xdr:col>
      <xdr:colOff>22411</xdr:colOff>
      <xdr:row>35</xdr:row>
      <xdr:rowOff>7817</xdr:rowOff>
    </xdr:to>
    <xdr:sp macro="" textlink="">
      <xdr:nvSpPr>
        <xdr:cNvPr id="134" name="STOWAGE_PLAN_DEFAULT_SHAPE_80707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5184961" y="5629275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55</xdr:col>
      <xdr:colOff>67235</xdr:colOff>
      <xdr:row>34</xdr:row>
      <xdr:rowOff>22412</xdr:rowOff>
    </xdr:from>
    <xdr:to>
      <xdr:col>63</xdr:col>
      <xdr:colOff>67235</xdr:colOff>
      <xdr:row>35</xdr:row>
      <xdr:rowOff>86258</xdr:rowOff>
    </xdr:to>
    <xdr:sp macro="" textlink="">
      <xdr:nvSpPr>
        <xdr:cNvPr id="135" name="STOWAGE_PLAN_DEFAULT_SHAPE_457926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10757647" y="5434853"/>
          <a:ext cx="1524000" cy="31037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3</xdr:col>
      <xdr:colOff>10771</xdr:colOff>
      <xdr:row>128</xdr:row>
      <xdr:rowOff>108920</xdr:rowOff>
    </xdr:from>
    <xdr:to>
      <xdr:col>9</xdr:col>
      <xdr:colOff>140708</xdr:colOff>
      <xdr:row>130</xdr:row>
      <xdr:rowOff>140562</xdr:rowOff>
    </xdr:to>
    <xdr:sp macro="" textlink="">
      <xdr:nvSpPr>
        <xdr:cNvPr id="89" name="STOWAGE_PLAN_DEFAULT_SHAPE_905640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93938" y="28588670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140707</xdr:colOff>
      <xdr:row>128</xdr:row>
      <xdr:rowOff>108920</xdr:rowOff>
    </xdr:from>
    <xdr:to>
      <xdr:col>20</xdr:col>
      <xdr:colOff>187685</xdr:colOff>
      <xdr:row>130</xdr:row>
      <xdr:rowOff>140562</xdr:rowOff>
    </xdr:to>
    <xdr:sp macro="" textlink="">
      <xdr:nvSpPr>
        <xdr:cNvPr id="99" name="STOWAGE_PLAN_DEFAULT_SHAPE_261343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2066874" y="28588670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HEIGH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DIFFERENCE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169333</xdr:colOff>
      <xdr:row>128</xdr:row>
      <xdr:rowOff>222250</xdr:rowOff>
    </xdr:from>
    <xdr:to>
      <xdr:col>8</xdr:col>
      <xdr:colOff>169334</xdr:colOff>
      <xdr:row>130</xdr:row>
      <xdr:rowOff>42334</xdr:rowOff>
    </xdr:to>
    <xdr:cxnSp macro="">
      <xdr:nvCxnSpPr>
        <xdr:cNvPr id="116" name="STOWAGE_PLAN_DEFAULT_SHAPE_785134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cxnSpLocks noChangeShapeType="1"/>
        </xdr:cNvCxnSpPr>
      </xdr:nvCxnSpPr>
      <xdr:spPr bwMode="auto">
        <a:xfrm flipH="1">
          <a:off x="952500" y="28702000"/>
          <a:ext cx="952501" cy="306917"/>
        </a:xfrm>
        <a:prstGeom prst="line">
          <a:avLst/>
        </a:prstGeom>
        <a:noFill/>
        <a:ln w="25400" algn="ctr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16628</xdr:colOff>
      <xdr:row>122</xdr:row>
      <xdr:rowOff>6983</xdr:rowOff>
    </xdr:from>
    <xdr:to>
      <xdr:col>9</xdr:col>
      <xdr:colOff>146565</xdr:colOff>
      <xdr:row>124</xdr:row>
      <xdr:rowOff>40660</xdr:rowOff>
    </xdr:to>
    <xdr:sp macro="" textlink="">
      <xdr:nvSpPr>
        <xdr:cNvPr id="118" name="STOWAGE_PLAN_DEFAULT_SHAPE_37886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01040" y="27360542"/>
          <a:ext cx="1272937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146564</xdr:colOff>
      <xdr:row>122</xdr:row>
      <xdr:rowOff>6983</xdr:rowOff>
    </xdr:from>
    <xdr:to>
      <xdr:col>21</xdr:col>
      <xdr:colOff>622</xdr:colOff>
      <xdr:row>124</xdr:row>
      <xdr:rowOff>40660</xdr:rowOff>
    </xdr:to>
    <xdr:sp macro="" textlink="">
      <xdr:nvSpPr>
        <xdr:cNvPr id="119" name="STOWAGE_PLAN_DEFAULT_SHAPE_289637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2073976" y="27360542"/>
          <a:ext cx="2140058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PORTABLE RAMP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52917</xdr:colOff>
      <xdr:row>122</xdr:row>
      <xdr:rowOff>158750</xdr:rowOff>
    </xdr:from>
    <xdr:to>
      <xdr:col>7</xdr:col>
      <xdr:colOff>81492</xdr:colOff>
      <xdr:row>123</xdr:row>
      <xdr:rowOff>136649</xdr:rowOff>
    </xdr:to>
    <xdr:sp macro="" textlink="">
      <xdr:nvSpPr>
        <xdr:cNvPr id="120" name="STOWAGE_PLAN_DEFAULT_SHAPE_919286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Arrowheads="1"/>
        </xdr:cNvSpPr>
      </xdr:nvSpPr>
      <xdr:spPr bwMode="auto">
        <a:xfrm>
          <a:off x="1217084" y="27178000"/>
          <a:ext cx="409575" cy="221316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7241</xdr:colOff>
      <xdr:row>115</xdr:row>
      <xdr:rowOff>153858</xdr:rowOff>
    </xdr:from>
    <xdr:to>
      <xdr:col>9</xdr:col>
      <xdr:colOff>145676</xdr:colOff>
      <xdr:row>117</xdr:row>
      <xdr:rowOff>189839</xdr:rowOff>
    </xdr:to>
    <xdr:sp macro="" textlink="">
      <xdr:nvSpPr>
        <xdr:cNvPr id="122" name="STOWAGE_PLAN_DEFAULT_SHAPE_63168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791653" y="25781711"/>
          <a:ext cx="1281435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148383</xdr:colOff>
      <xdr:row>115</xdr:row>
      <xdr:rowOff>153858</xdr:rowOff>
    </xdr:from>
    <xdr:to>
      <xdr:col>21</xdr:col>
      <xdr:colOff>4861</xdr:colOff>
      <xdr:row>117</xdr:row>
      <xdr:rowOff>189839</xdr:rowOff>
    </xdr:to>
    <xdr:sp macro="" textlink="">
      <xdr:nvSpPr>
        <xdr:cNvPr id="137" name="STOWAGE_PLAN_DEFAULT_SHAPE_627580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2075795" y="25781711"/>
          <a:ext cx="2142478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HOLD SWEEPER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74083</xdr:colOff>
      <xdr:row>116</xdr:row>
      <xdr:rowOff>52917</xdr:rowOff>
    </xdr:from>
    <xdr:to>
      <xdr:col>7</xdr:col>
      <xdr:colOff>75204</xdr:colOff>
      <xdr:row>117</xdr:row>
      <xdr:rowOff>30816</xdr:rowOff>
    </xdr:to>
    <xdr:sp macro="" textlink="">
      <xdr:nvSpPr>
        <xdr:cNvPr id="138" name="STOWAGE_PLAN_DEFAULT_SHAPE_428414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rrowheads="1"/>
        </xdr:cNvSpPr>
      </xdr:nvSpPr>
      <xdr:spPr bwMode="auto">
        <a:xfrm>
          <a:off x="1238250" y="25611667"/>
          <a:ext cx="382121" cy="221316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45</xdr:col>
      <xdr:colOff>121801</xdr:colOff>
      <xdr:row>95</xdr:row>
      <xdr:rowOff>195860</xdr:rowOff>
    </xdr:from>
    <xdr:to>
      <xdr:col>49</xdr:col>
      <xdr:colOff>147095</xdr:colOff>
      <xdr:row>96</xdr:row>
      <xdr:rowOff>159414</xdr:rowOff>
    </xdr:to>
    <xdr:sp macro="" textlink="">
      <xdr:nvSpPr>
        <xdr:cNvPr id="140" name="STOWAGE_PLAN_DEFAULT_SHAPE_56098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rrowheads="1"/>
        </xdr:cNvSpPr>
      </xdr:nvSpPr>
      <xdr:spPr bwMode="auto">
        <a:xfrm>
          <a:off x="8907213" y="20893125"/>
          <a:ext cx="787294" cy="21008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28</xdr:col>
      <xdr:colOff>11907</xdr:colOff>
      <xdr:row>86</xdr:row>
      <xdr:rowOff>0</xdr:rowOff>
    </xdr:from>
    <xdr:to>
      <xdr:col>47</xdr:col>
      <xdr:colOff>190500</xdr:colOff>
      <xdr:row>97</xdr:row>
      <xdr:rowOff>5953</xdr:rowOff>
    </xdr:to>
    <xdr:sp macro="" textlink="">
      <xdr:nvSpPr>
        <xdr:cNvPr id="141" name="STOWAGE_PLAN_DEFAULT_SHAPE_694416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ShapeType="1"/>
        </xdr:cNvSpPr>
      </xdr:nvSpPr>
      <xdr:spPr bwMode="auto">
        <a:xfrm flipV="1">
          <a:off x="5554266" y="18740438"/>
          <a:ext cx="3798093" cy="275629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47625</xdr:colOff>
      <xdr:row>94</xdr:row>
      <xdr:rowOff>13919</xdr:rowOff>
    </xdr:from>
    <xdr:to>
      <xdr:col>32</xdr:col>
      <xdr:colOff>28575</xdr:colOff>
      <xdr:row>94</xdr:row>
      <xdr:rowOff>151667</xdr:rowOff>
    </xdr:to>
    <xdr:cxnSp macro="">
      <xdr:nvCxnSpPr>
        <xdr:cNvPr id="22" name="STOWAGE_PLAN_DEFAULT_SHAPE_91362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6165606" y="20683169"/>
          <a:ext cx="171450" cy="1377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7327</xdr:colOff>
      <xdr:row>87</xdr:row>
      <xdr:rowOff>7326</xdr:rowOff>
    </xdr:from>
    <xdr:to>
      <xdr:col>78</xdr:col>
      <xdr:colOff>175846</xdr:colOff>
      <xdr:row>96</xdr:row>
      <xdr:rowOff>240414</xdr:rowOff>
    </xdr:to>
    <xdr:sp macro="" textlink="">
      <xdr:nvSpPr>
        <xdr:cNvPr id="142" name="STOWAGE_PLAN_DEFAULT_SHAPE_834734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 flipV="1">
          <a:off x="11459308" y="18932768"/>
          <a:ext cx="3788019" cy="2475127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66675</xdr:colOff>
      <xdr:row>94</xdr:row>
      <xdr:rowOff>20515</xdr:rowOff>
    </xdr:from>
    <xdr:to>
      <xdr:col>63</xdr:col>
      <xdr:colOff>28575</xdr:colOff>
      <xdr:row>94</xdr:row>
      <xdr:rowOff>200025</xdr:rowOff>
    </xdr:to>
    <xdr:cxnSp macro="">
      <xdr:nvCxnSpPr>
        <xdr:cNvPr id="143" name="STOWAGE_PLAN_DEFAULT_SHAPE_22627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CxnSpPr/>
      </xdr:nvCxnSpPr>
      <xdr:spPr>
        <a:xfrm>
          <a:off x="12087225" y="20565940"/>
          <a:ext cx="152400" cy="179510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22413</xdr:colOff>
      <xdr:row>69</xdr:row>
      <xdr:rowOff>11205</xdr:rowOff>
    </xdr:from>
    <xdr:to>
      <xdr:col>48</xdr:col>
      <xdr:colOff>1</xdr:colOff>
      <xdr:row>76</xdr:row>
      <xdr:rowOff>241275</xdr:rowOff>
    </xdr:to>
    <xdr:sp macro="" textlink="">
      <xdr:nvSpPr>
        <xdr:cNvPr id="144" name="STOWAGE_PLAN_DEFAULT_SHAPE_543307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 flipV="1">
          <a:off x="6140825" y="14298705"/>
          <a:ext cx="3216088" cy="195577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34236</xdr:colOff>
      <xdr:row>67</xdr:row>
      <xdr:rowOff>64368</xdr:rowOff>
    </xdr:from>
    <xdr:to>
      <xdr:col>78</xdr:col>
      <xdr:colOff>109266</xdr:colOff>
      <xdr:row>67</xdr:row>
      <xdr:rowOff>246249</xdr:rowOff>
    </xdr:to>
    <xdr:cxnSp macro="">
      <xdr:nvCxnSpPr>
        <xdr:cNvPr id="145" name="STOWAGE_PLAN_DEFAULT_SHAPE_916073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CxnSpPr/>
      </xdr:nvCxnSpPr>
      <xdr:spPr>
        <a:xfrm>
          <a:off x="14915217" y="14007503"/>
          <a:ext cx="265530" cy="181881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56029</xdr:colOff>
      <xdr:row>59</xdr:row>
      <xdr:rowOff>215348</xdr:rowOff>
    </xdr:from>
    <xdr:to>
      <xdr:col>88</xdr:col>
      <xdr:colOff>165652</xdr:colOff>
      <xdr:row>68</xdr:row>
      <xdr:rowOff>230070</xdr:rowOff>
    </xdr:to>
    <xdr:sp macro="" textlink="">
      <xdr:nvSpPr>
        <xdr:cNvPr id="146" name="STOWAGE_PLAN_DEFAULT_SHAPE_43021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 flipV="1">
          <a:off x="14741094" y="12134022"/>
          <a:ext cx="2395623" cy="225102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66675</xdr:colOff>
      <xdr:row>74</xdr:row>
      <xdr:rowOff>209550</xdr:rowOff>
    </xdr:from>
    <xdr:to>
      <xdr:col>34</xdr:col>
      <xdr:colOff>58615</xdr:colOff>
      <xdr:row>75</xdr:row>
      <xdr:rowOff>146538</xdr:rowOff>
    </xdr:to>
    <xdr:cxnSp macro="">
      <xdr:nvCxnSpPr>
        <xdr:cNvPr id="147" name="STOWAGE_PLAN_DEFAULT_SHAPE_677880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CxnSpPr/>
      </xdr:nvCxnSpPr>
      <xdr:spPr>
        <a:xfrm>
          <a:off x="6565656" y="15896492"/>
          <a:ext cx="182440" cy="186104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112059</xdr:colOff>
      <xdr:row>109</xdr:row>
      <xdr:rowOff>134471</xdr:rowOff>
    </xdr:from>
    <xdr:to>
      <xdr:col>8</xdr:col>
      <xdr:colOff>44823</xdr:colOff>
      <xdr:row>110</xdr:row>
      <xdr:rowOff>190499</xdr:rowOff>
    </xdr:to>
    <xdr:sp macro="" textlink="">
      <xdr:nvSpPr>
        <xdr:cNvPr id="121" name="Rectangle 710" descr="50%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rrowheads="1"/>
        </xdr:cNvSpPr>
      </xdr:nvSpPr>
      <xdr:spPr bwMode="auto">
        <a:xfrm>
          <a:off x="1086971" y="26501912"/>
          <a:ext cx="694764" cy="3025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5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5</xdr:col>
      <xdr:colOff>44824</xdr:colOff>
      <xdr:row>114</xdr:row>
      <xdr:rowOff>11205</xdr:rowOff>
    </xdr:from>
    <xdr:to>
      <xdr:col>7</xdr:col>
      <xdr:colOff>123265</xdr:colOff>
      <xdr:row>115</xdr:row>
      <xdr:rowOff>33616</xdr:rowOff>
    </xdr:to>
    <xdr:sp macro="" textlink="">
      <xdr:nvSpPr>
        <xdr:cNvPr id="148" name="Rectangle 710" descr="50%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rrowheads="1"/>
        </xdr:cNvSpPr>
      </xdr:nvSpPr>
      <xdr:spPr bwMode="auto">
        <a:xfrm>
          <a:off x="1210236" y="27611293"/>
          <a:ext cx="459441" cy="268941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FL</a:t>
          </a:r>
        </a:p>
      </xdr:txBody>
    </xdr:sp>
    <xdr:clientData/>
  </xdr:twoCellAnchor>
  <xdr:twoCellAnchor>
    <xdr:from>
      <xdr:col>5</xdr:col>
      <xdr:colOff>32644</xdr:colOff>
      <xdr:row>111</xdr:row>
      <xdr:rowOff>186113</xdr:rowOff>
    </xdr:from>
    <xdr:to>
      <xdr:col>7</xdr:col>
      <xdr:colOff>123265</xdr:colOff>
      <xdr:row>112</xdr:row>
      <xdr:rowOff>190499</xdr:rowOff>
    </xdr:to>
    <xdr:sp macro="" textlink="">
      <xdr:nvSpPr>
        <xdr:cNvPr id="151" name="Rectangle 710" descr="50%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rrowheads="1"/>
        </xdr:cNvSpPr>
      </xdr:nvSpPr>
      <xdr:spPr bwMode="auto">
        <a:xfrm>
          <a:off x="1198056" y="27046613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37</xdr:col>
      <xdr:colOff>37377</xdr:colOff>
      <xdr:row>95</xdr:row>
      <xdr:rowOff>41600</xdr:rowOff>
    </xdr:from>
    <xdr:to>
      <xdr:col>38</xdr:col>
      <xdr:colOff>179294</xdr:colOff>
      <xdr:row>95</xdr:row>
      <xdr:rowOff>224118</xdr:rowOff>
    </xdr:to>
    <xdr:sp macro="" textlink="">
      <xdr:nvSpPr>
        <xdr:cNvPr id="152" name="STOWAGE_PLAN_DEFAULT_SHAPE_428414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rrowheads="1"/>
        </xdr:cNvSpPr>
      </xdr:nvSpPr>
      <xdr:spPr bwMode="auto">
        <a:xfrm>
          <a:off x="7298789" y="22957629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37</xdr:col>
      <xdr:colOff>33618</xdr:colOff>
      <xdr:row>94</xdr:row>
      <xdr:rowOff>33618</xdr:rowOff>
    </xdr:from>
    <xdr:to>
      <xdr:col>39</xdr:col>
      <xdr:colOff>124239</xdr:colOff>
      <xdr:row>95</xdr:row>
      <xdr:rowOff>38004</xdr:rowOff>
    </xdr:to>
    <xdr:sp macro="" textlink="">
      <xdr:nvSpPr>
        <xdr:cNvPr id="153" name="Rectangle 710" descr="50%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rrowheads="1"/>
        </xdr:cNvSpPr>
      </xdr:nvSpPr>
      <xdr:spPr bwMode="auto">
        <a:xfrm>
          <a:off x="7295030" y="22703118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54</xdr:col>
      <xdr:colOff>67235</xdr:colOff>
      <xdr:row>80</xdr:row>
      <xdr:rowOff>33618</xdr:rowOff>
    </xdr:from>
    <xdr:to>
      <xdr:col>59</xdr:col>
      <xdr:colOff>0</xdr:colOff>
      <xdr:row>81</xdr:row>
      <xdr:rowOff>156880</xdr:rowOff>
    </xdr:to>
    <xdr:sp macro="" textlink="">
      <xdr:nvSpPr>
        <xdr:cNvPr id="154" name="Rectangle 710" descr="50%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rrowheads="1"/>
        </xdr:cNvSpPr>
      </xdr:nvSpPr>
      <xdr:spPr bwMode="auto">
        <a:xfrm>
          <a:off x="10567147" y="19251706"/>
          <a:ext cx="885265" cy="36979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>
            <a:alpha val="75000"/>
          </a:srgb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17</xdr:col>
      <xdr:colOff>145677</xdr:colOff>
      <xdr:row>44</xdr:row>
      <xdr:rowOff>112059</xdr:rowOff>
    </xdr:from>
    <xdr:to>
      <xdr:col>24</xdr:col>
      <xdr:colOff>82178</xdr:colOff>
      <xdr:row>45</xdr:row>
      <xdr:rowOff>11206</xdr:rowOff>
    </xdr:to>
    <xdr:sp macro="" textlink="">
      <xdr:nvSpPr>
        <xdr:cNvPr id="3" name="STOW_DIRECTION_20201026082459_F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V="1">
          <a:off x="3597089" y="10443883"/>
          <a:ext cx="1270001" cy="145676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48</xdr:col>
      <xdr:colOff>64620</xdr:colOff>
      <xdr:row>37</xdr:row>
      <xdr:rowOff>239835</xdr:rowOff>
    </xdr:from>
    <xdr:to>
      <xdr:col>56</xdr:col>
      <xdr:colOff>64620</xdr:colOff>
      <xdr:row>39</xdr:row>
      <xdr:rowOff>212612</xdr:rowOff>
    </xdr:to>
    <xdr:sp macro="" textlink="">
      <xdr:nvSpPr>
        <xdr:cNvPr id="4" name="PKG_BOX_20201026232230_PKG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21532" y="6391864"/>
          <a:ext cx="1524000" cy="465836"/>
        </a:xfrm>
        <a:prstGeom prst="wedgeRectCallout">
          <a:avLst>
            <a:gd name="adj1" fmla="val -25980"/>
            <a:gd name="adj2" fmla="val -180460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DRW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12 pkgs - 23.0 kt</a:t>
          </a:r>
        </a:p>
      </xdr:txBody>
    </xdr:sp>
    <xdr:clientData/>
  </xdr:twoCellAnchor>
  <xdr:twoCellAnchor>
    <xdr:from>
      <xdr:col>3</xdr:col>
      <xdr:colOff>189379</xdr:colOff>
      <xdr:row>38</xdr:row>
      <xdr:rowOff>54191</xdr:rowOff>
    </xdr:from>
    <xdr:to>
      <xdr:col>11</xdr:col>
      <xdr:colOff>189379</xdr:colOff>
      <xdr:row>40</xdr:row>
      <xdr:rowOff>26967</xdr:rowOff>
    </xdr:to>
    <xdr:sp macro="" textlink="">
      <xdr:nvSpPr>
        <xdr:cNvPr id="6" name="PKG_BOX_20201026232900_PKG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73791" y="6452750"/>
          <a:ext cx="1524000" cy="465835"/>
        </a:xfrm>
        <a:prstGeom prst="wedgeRectCallout">
          <a:avLst/>
        </a:prstGeom>
        <a:solidFill>
          <a:srgbClr val="33CCCC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FRE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23 pkgs - 44.0 kt</a:t>
          </a:r>
        </a:p>
      </xdr:txBody>
    </xdr:sp>
    <xdr:clientData/>
  </xdr:twoCellAnchor>
  <xdr:twoCellAnchor>
    <xdr:from>
      <xdr:col>24</xdr:col>
      <xdr:colOff>120650</xdr:colOff>
      <xdr:row>26</xdr:row>
      <xdr:rowOff>199867</xdr:rowOff>
    </xdr:from>
    <xdr:to>
      <xdr:col>32</xdr:col>
      <xdr:colOff>120650</xdr:colOff>
      <xdr:row>28</xdr:row>
      <xdr:rowOff>172644</xdr:rowOff>
    </xdr:to>
    <xdr:sp macro="" textlink="">
      <xdr:nvSpPr>
        <xdr:cNvPr id="5" name="PKG_BOX_20201027052509_PKGS">
          <a:extLst>
            <a:ext uri="{FF2B5EF4-FFF2-40B4-BE49-F238E27FC236}">
              <a16:creationId xmlns:a16="http://schemas.microsoft.com/office/drawing/2014/main" id="{82D0CA12-8EFA-47E8-A03F-D14D9D387C89}"/>
            </a:ext>
          </a:extLst>
        </xdr:cNvPr>
        <xdr:cNvSpPr/>
      </xdr:nvSpPr>
      <xdr:spPr>
        <a:xfrm>
          <a:off x="4905562" y="3640073"/>
          <a:ext cx="1524000" cy="465836"/>
        </a:xfrm>
        <a:prstGeom prst="wedgeRectCallout">
          <a:avLst>
            <a:gd name="adj1" fmla="val -17157"/>
            <a:gd name="adj2" fmla="val 115422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GB" sz="1200">
              <a:solidFill>
                <a:srgbClr val="000000"/>
              </a:solidFill>
            </a:rPr>
            <a:t>DRW / LCH</a:t>
          </a:r>
        </a:p>
        <a:p>
          <a:pPr algn="ctr"/>
          <a:r>
            <a:rPr lang="en-GB" sz="1200">
              <a:solidFill>
                <a:srgbClr val="000000"/>
              </a:solidFill>
            </a:rPr>
            <a:t>12 pkgs  - 12.3 kt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10</xdr:row>
      <xdr:rowOff>17368</xdr:rowOff>
    </xdr:from>
    <xdr:to>
      <xdr:col>26</xdr:col>
      <xdr:colOff>360590</xdr:colOff>
      <xdr:row>33</xdr:row>
      <xdr:rowOff>112618</xdr:rowOff>
    </xdr:to>
    <xdr:pic>
      <xdr:nvPicPr>
        <xdr:cNvPr id="2" name="STOWAGE_PLAN_DEFAULT_SHAPE_502404" descr="DK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2" y="1922368"/>
          <a:ext cx="15257688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332815</xdr:colOff>
      <xdr:row>11</xdr:row>
      <xdr:rowOff>5042</xdr:rowOff>
    </xdr:from>
    <xdr:to>
      <xdr:col>3</xdr:col>
      <xdr:colOff>381000</xdr:colOff>
      <xdr:row>13</xdr:row>
      <xdr:rowOff>180975</xdr:rowOff>
    </xdr:to>
    <xdr:sp macro="" textlink="">
      <xdr:nvSpPr>
        <xdr:cNvPr id="3" name="STOWAGE_PLAN_DEFAULT_SHAPE_51368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47115" y="2100542"/>
          <a:ext cx="1267385" cy="556933"/>
        </a:xfrm>
        <a:custGeom>
          <a:avLst/>
          <a:gdLst>
            <a:gd name="T0" fmla="*/ 1 w 3765334"/>
            <a:gd name="T1" fmla="*/ 1 h 1541973"/>
            <a:gd name="T2" fmla="*/ 2 w 3765334"/>
            <a:gd name="T3" fmla="*/ 0 h 1541973"/>
            <a:gd name="T4" fmla="*/ 2 w 3765334"/>
            <a:gd name="T5" fmla="*/ 33 h 1541973"/>
            <a:gd name="T6" fmla="*/ 0 w 3765334"/>
            <a:gd name="T7" fmla="*/ 33 h 1541973"/>
            <a:gd name="T8" fmla="*/ 0 w 3765334"/>
            <a:gd name="T9" fmla="*/ 7 h 1541973"/>
            <a:gd name="T10" fmla="*/ 1 w 3765334"/>
            <a:gd name="T11" fmla="*/ 1 h 1541973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3765334" h="1541973">
              <a:moveTo>
                <a:pt x="1385359" y="42853"/>
              </a:moveTo>
              <a:lnTo>
                <a:pt x="3765334" y="0"/>
              </a:lnTo>
              <a:lnTo>
                <a:pt x="3752195" y="1525499"/>
              </a:lnTo>
              <a:lnTo>
                <a:pt x="0" y="1541973"/>
              </a:lnTo>
              <a:lnTo>
                <a:pt x="71044" y="322908"/>
              </a:lnTo>
              <a:lnTo>
                <a:pt x="1385359" y="42853"/>
              </a:lnTo>
              <a:close/>
            </a:path>
          </a:pathLst>
        </a:custGeom>
        <a:solidFill>
          <a:srgbClr val="00FF99">
            <a:alpha val="54901"/>
          </a:srgbClr>
        </a:solidFill>
        <a:ln w="25400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1</xdr:col>
      <xdr:colOff>517103</xdr:colOff>
      <xdr:row>11</xdr:row>
      <xdr:rowOff>94642</xdr:rowOff>
    </xdr:from>
    <xdr:to>
      <xdr:col>3</xdr:col>
      <xdr:colOff>281779</xdr:colOff>
      <xdr:row>14</xdr:row>
      <xdr:rowOff>4995</xdr:rowOff>
    </xdr:to>
    <xdr:sp macro="" textlink="">
      <xdr:nvSpPr>
        <xdr:cNvPr id="5" name="PKG_BOX_20201019110441_PKG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31403" y="2190142"/>
          <a:ext cx="983876" cy="481853"/>
        </a:xfrm>
        <a:prstGeom prst="rect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0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17</xdr:col>
      <xdr:colOff>86458</xdr:colOff>
      <xdr:row>18</xdr:row>
      <xdr:rowOff>167787</xdr:rowOff>
    </xdr:from>
    <xdr:to>
      <xdr:col>17</xdr:col>
      <xdr:colOff>335574</xdr:colOff>
      <xdr:row>21</xdr:row>
      <xdr:rowOff>158649</xdr:rowOff>
    </xdr:to>
    <xdr:sp macro="" textlink="">
      <xdr:nvSpPr>
        <xdr:cNvPr id="7" name="STOWAGE_PLAN_DEFAULT_SHAPE_40479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10268683" y="3596787"/>
          <a:ext cx="249116" cy="562362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10</xdr:col>
      <xdr:colOff>179510</xdr:colOff>
      <xdr:row>17</xdr:row>
      <xdr:rowOff>21980</xdr:rowOff>
    </xdr:from>
    <xdr:to>
      <xdr:col>10</xdr:col>
      <xdr:colOff>428625</xdr:colOff>
      <xdr:row>21</xdr:row>
      <xdr:rowOff>162657</xdr:rowOff>
    </xdr:to>
    <xdr:sp macro="" textlink="">
      <xdr:nvSpPr>
        <xdr:cNvPr id="11" name="STOWAGE_PLAN_DEFAULT_SHAPE_26970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5742110" y="3260480"/>
          <a:ext cx="249115" cy="90267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</xdr:col>
      <xdr:colOff>223471</xdr:colOff>
      <xdr:row>19</xdr:row>
      <xdr:rowOff>38918</xdr:rowOff>
    </xdr:from>
    <xdr:to>
      <xdr:col>1</xdr:col>
      <xdr:colOff>340702</xdr:colOff>
      <xdr:row>24</xdr:row>
      <xdr:rowOff>175845</xdr:rowOff>
    </xdr:to>
    <xdr:sp macro="" textlink="">
      <xdr:nvSpPr>
        <xdr:cNvPr id="12" name="STOWAGE_PLAN_DEFAULT_SHAPE_5558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337771" y="3658418"/>
          <a:ext cx="117231" cy="108942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 </a:t>
          </a:r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2</xdr:col>
      <xdr:colOff>294348</xdr:colOff>
      <xdr:row>31</xdr:row>
      <xdr:rowOff>179102</xdr:rowOff>
    </xdr:from>
    <xdr:to>
      <xdr:col>2</xdr:col>
      <xdr:colOff>551523</xdr:colOff>
      <xdr:row>32</xdr:row>
      <xdr:rowOff>187162</xdr:rowOff>
    </xdr:to>
    <xdr:sp macro="" textlink="">
      <xdr:nvSpPr>
        <xdr:cNvPr id="13" name="STOWAGE_PLAN_DEFAULT_SHAPE_24382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018248" y="6084602"/>
          <a:ext cx="257175" cy="198560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218343</xdr:colOff>
      <xdr:row>31</xdr:row>
      <xdr:rowOff>168605</xdr:rowOff>
    </xdr:from>
    <xdr:to>
      <xdr:col>3</xdr:col>
      <xdr:colOff>361218</xdr:colOff>
      <xdr:row>34</xdr:row>
      <xdr:rowOff>8714</xdr:rowOff>
    </xdr:to>
    <xdr:sp macro="" textlink="">
      <xdr:nvSpPr>
        <xdr:cNvPr id="14" name="STOWAGE_PLAN_DEFAULT_SHAPE_97898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942243" y="6074105"/>
          <a:ext cx="752475" cy="41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Cargo</a:t>
          </a:r>
        </a:p>
        <a:p>
          <a:r>
            <a:rPr lang="en-US" sz="900" baseline="0"/>
            <a:t> materials</a:t>
          </a:r>
          <a:endParaRPr lang="en-US" sz="900"/>
        </a:p>
      </xdr:txBody>
    </xdr:sp>
    <xdr:clientData/>
  </xdr:twoCellAnchor>
  <xdr:twoCellAnchor>
    <xdr:from>
      <xdr:col>1</xdr:col>
      <xdr:colOff>379535</xdr:colOff>
      <xdr:row>19</xdr:row>
      <xdr:rowOff>33790</xdr:rowOff>
    </xdr:from>
    <xdr:to>
      <xdr:col>2</xdr:col>
      <xdr:colOff>27110</xdr:colOff>
      <xdr:row>21</xdr:row>
      <xdr:rowOff>79950</xdr:rowOff>
    </xdr:to>
    <xdr:sp macro="" textlink="">
      <xdr:nvSpPr>
        <xdr:cNvPr id="17" name="STOWAGE_PLAN_DEFAULT_SHAPE_39025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493835" y="3653290"/>
          <a:ext cx="257175" cy="427160"/>
        </a:xfrm>
        <a:prstGeom prst="rect">
          <a:avLst/>
        </a:prstGeom>
        <a:solidFill>
          <a:srgbClr val="595959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360485</xdr:colOff>
      <xdr:row>15</xdr:row>
      <xdr:rowOff>75553</xdr:rowOff>
    </xdr:from>
    <xdr:to>
      <xdr:col>2</xdr:col>
      <xdr:colOff>581917</xdr:colOff>
      <xdr:row>18</xdr:row>
      <xdr:rowOff>158348</xdr:rowOff>
    </xdr:to>
    <xdr:sp macro="" textlink="">
      <xdr:nvSpPr>
        <xdr:cNvPr id="18" name="STOWAGE_PLAN_DEFAULT_SHAPE_36495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477716" y="2933053"/>
          <a:ext cx="829566" cy="654295"/>
        </a:xfrm>
        <a:prstGeom prst="wedgeRoundRectCallout">
          <a:avLst>
            <a:gd name="adj1" fmla="val -38132"/>
            <a:gd name="adj2" fmla="val 79337"/>
            <a:gd name="adj3" fmla="val 16667"/>
          </a:avLst>
        </a:prstGeom>
        <a:solidFill>
          <a:schemeClr val="tx1">
            <a:lumMod val="65000"/>
            <a:lumOff val="35000"/>
          </a:schemeClr>
        </a:solidFill>
        <a:ln w="9525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900" b="1" i="0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15 pallets with lashing materials for Singapore</a:t>
          </a:r>
          <a:endParaRPr lang="en-US" sz="700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419100</xdr:colOff>
      <xdr:row>16</xdr:row>
      <xdr:rowOff>161925</xdr:rowOff>
    </xdr:from>
    <xdr:to>
      <xdr:col>13</xdr:col>
      <xdr:colOff>438150</xdr:colOff>
      <xdr:row>16</xdr:row>
      <xdr:rowOff>161925</xdr:rowOff>
    </xdr:to>
    <xdr:cxnSp macro="">
      <xdr:nvCxnSpPr>
        <xdr:cNvPr id="21" name="STOWAGE_PLAN_DEFAULT_SHAPE_47441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cxnSpLocks noChangeShapeType="1"/>
        </xdr:cNvCxnSpPr>
      </xdr:nvCxnSpPr>
      <xdr:spPr bwMode="auto">
        <a:xfrm>
          <a:off x="6591300" y="3209925"/>
          <a:ext cx="1428750" cy="0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438150</xdr:colOff>
      <xdr:row>21</xdr:row>
      <xdr:rowOff>180242</xdr:rowOff>
    </xdr:from>
    <xdr:to>
      <xdr:col>13</xdr:col>
      <xdr:colOff>419833</xdr:colOff>
      <xdr:row>22</xdr:row>
      <xdr:rowOff>0</xdr:rowOff>
    </xdr:to>
    <xdr:cxnSp macro="">
      <xdr:nvCxnSpPr>
        <xdr:cNvPr id="31" name="STOWAGE_PLAN_DEFAULT_SHAPE_25724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>
          <a:cxnSpLocks noChangeShapeType="1"/>
        </xdr:cNvCxnSpPr>
      </xdr:nvCxnSpPr>
      <xdr:spPr bwMode="auto">
        <a:xfrm flipV="1">
          <a:off x="6610350" y="4180742"/>
          <a:ext cx="1391383" cy="10258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408109</xdr:colOff>
      <xdr:row>16</xdr:row>
      <xdr:rowOff>165590</xdr:rowOff>
    </xdr:from>
    <xdr:to>
      <xdr:col>13</xdr:col>
      <xdr:colOff>414173</xdr:colOff>
      <xdr:row>21</xdr:row>
      <xdr:rowOff>189843</xdr:rowOff>
    </xdr:to>
    <xdr:cxnSp macro="">
      <xdr:nvCxnSpPr>
        <xdr:cNvPr id="32" name="STOWAGE_PLAN_DEFAULT_SHAPE_62868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cxnSpLocks noChangeShapeType="1"/>
        </xdr:cNvCxnSpPr>
      </xdr:nvCxnSpPr>
      <xdr:spPr bwMode="auto">
        <a:xfrm>
          <a:off x="7990009" y="3213590"/>
          <a:ext cx="6064" cy="976753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390939</xdr:colOff>
      <xdr:row>20</xdr:row>
      <xdr:rowOff>111815</xdr:rowOff>
    </xdr:from>
    <xdr:to>
      <xdr:col>13</xdr:col>
      <xdr:colOff>365698</xdr:colOff>
      <xdr:row>21</xdr:row>
      <xdr:rowOff>128603</xdr:rowOff>
    </xdr:to>
    <xdr:sp macro="" textlink="">
      <xdr:nvSpPr>
        <xdr:cNvPr id="35" name="STOWAGE_PLAN_DEFAULT_SHAPE_54201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7172739" y="3921815"/>
          <a:ext cx="774859" cy="207288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493676</xdr:colOff>
      <xdr:row>18</xdr:row>
      <xdr:rowOff>116192</xdr:rowOff>
    </xdr:from>
    <xdr:to>
      <xdr:col>11</xdr:col>
      <xdr:colOff>216493</xdr:colOff>
      <xdr:row>19</xdr:row>
      <xdr:rowOff>108210</xdr:rowOff>
    </xdr:to>
    <xdr:sp macro="" textlink="">
      <xdr:nvSpPr>
        <xdr:cNvPr id="19" name="STOWAGE_PLAN_DEFAULT_SHAPE_4284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6056276" y="3545192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10</xdr:col>
      <xdr:colOff>499442</xdr:colOff>
      <xdr:row>17</xdr:row>
      <xdr:rowOff>23606</xdr:rowOff>
    </xdr:from>
    <xdr:to>
      <xdr:col>11</xdr:col>
      <xdr:colOff>361463</xdr:colOff>
      <xdr:row>18</xdr:row>
      <xdr:rowOff>84021</xdr:rowOff>
    </xdr:to>
    <xdr:sp macro="" textlink="">
      <xdr:nvSpPr>
        <xdr:cNvPr id="20" name="Rectangle 710" descr="50%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6062042" y="3262106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183930</xdr:rowOff>
    </xdr:from>
    <xdr:to>
      <xdr:col>22</xdr:col>
      <xdr:colOff>305647</xdr:colOff>
      <xdr:row>20</xdr:row>
      <xdr:rowOff>86775</xdr:rowOff>
    </xdr:to>
    <xdr:pic>
      <xdr:nvPicPr>
        <xdr:cNvPr id="2" name="STOWAGE_PLAN_DEFAULT_SHAPE_15628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717" b="27652"/>
        <a:stretch/>
      </xdr:blipFill>
      <xdr:spPr bwMode="auto">
        <a:xfrm>
          <a:off x="0" y="945930"/>
          <a:ext cx="13716847" cy="3017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155121</xdr:rowOff>
    </xdr:from>
    <xdr:to>
      <xdr:col>21</xdr:col>
      <xdr:colOff>512914</xdr:colOff>
      <xdr:row>32</xdr:row>
      <xdr:rowOff>123825</xdr:rowOff>
    </xdr:to>
    <xdr:pic>
      <xdr:nvPicPr>
        <xdr:cNvPr id="3" name="STOWAGE_PLAN_DEFAULT_SHAPE_93845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1796"/>
          <a:ext cx="13314514" cy="23213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307520</xdr:colOff>
      <xdr:row>21</xdr:row>
      <xdr:rowOff>156482</xdr:rowOff>
    </xdr:from>
    <xdr:to>
      <xdr:col>18</xdr:col>
      <xdr:colOff>400049</xdr:colOff>
      <xdr:row>31</xdr:row>
      <xdr:rowOff>152400</xdr:rowOff>
    </xdr:to>
    <xdr:sp macro="" textlink="">
      <xdr:nvSpPr>
        <xdr:cNvPr id="4" name="STOWAGE_PLAN_DEFAULT_SHAPE_65443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917120" y="4223657"/>
          <a:ext cx="10455729" cy="1967593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219075</xdr:colOff>
      <xdr:row>7</xdr:row>
      <xdr:rowOff>108856</xdr:rowOff>
    </xdr:from>
    <xdr:to>
      <xdr:col>11</xdr:col>
      <xdr:colOff>561975</xdr:colOff>
      <xdr:row>18</xdr:row>
      <xdr:rowOff>19049</xdr:rowOff>
    </xdr:to>
    <xdr:sp macro="" textlink="">
      <xdr:nvSpPr>
        <xdr:cNvPr id="5" name="STOWAGE_PLAN_DEFAULT_SHAPE_506037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2047875" y="1470931"/>
          <a:ext cx="5219700" cy="2043793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172149</xdr:colOff>
      <xdr:row>28</xdr:row>
      <xdr:rowOff>50232</xdr:rowOff>
    </xdr:from>
    <xdr:to>
      <xdr:col>9</xdr:col>
      <xdr:colOff>466724</xdr:colOff>
      <xdr:row>30</xdr:row>
      <xdr:rowOff>78630</xdr:rowOff>
    </xdr:to>
    <xdr:sp macro="" textlink="">
      <xdr:nvSpPr>
        <xdr:cNvPr id="6" name="STOWAGE_PLAN_DEFAULT_SHAPE_39043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39349" y="5517582"/>
          <a:ext cx="1513775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 0 cm</a:t>
          </a:r>
        </a:p>
      </xdr:txBody>
    </xdr:sp>
    <xdr:clientData/>
  </xdr:twoCellAnchor>
  <xdr:twoCellAnchor>
    <xdr:from>
      <xdr:col>4</xdr:col>
      <xdr:colOff>596095</xdr:colOff>
      <xdr:row>10</xdr:row>
      <xdr:rowOff>188374</xdr:rowOff>
    </xdr:from>
    <xdr:to>
      <xdr:col>7</xdr:col>
      <xdr:colOff>413844</xdr:colOff>
      <xdr:row>13</xdr:row>
      <xdr:rowOff>26270</xdr:rowOff>
    </xdr:to>
    <xdr:sp macro="" textlink="">
      <xdr:nvSpPr>
        <xdr:cNvPr id="7" name="STOWAGE_PLAN_DEFAULT_SHAPE_10736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034495" y="2160049"/>
          <a:ext cx="1646549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 185cm</a:t>
          </a:r>
        </a:p>
      </xdr:txBody>
    </xdr:sp>
    <xdr:clientData/>
  </xdr:twoCellAnchor>
  <xdr:twoCellAnchor>
    <xdr:from>
      <xdr:col>6</xdr:col>
      <xdr:colOff>182336</xdr:colOff>
      <xdr:row>21</xdr:row>
      <xdr:rowOff>137432</xdr:rowOff>
    </xdr:from>
    <xdr:to>
      <xdr:col>18</xdr:col>
      <xdr:colOff>438150</xdr:colOff>
      <xdr:row>26</xdr:row>
      <xdr:rowOff>142875</xdr:rowOff>
    </xdr:to>
    <xdr:sp macro="" textlink="">
      <xdr:nvSpPr>
        <xdr:cNvPr id="8" name="STOWAGE_PLAN_DEFAULT_SHAPE_78391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3839936" y="4204607"/>
          <a:ext cx="7571014" cy="1024618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307520</xdr:colOff>
      <xdr:row>7</xdr:row>
      <xdr:rowOff>118382</xdr:rowOff>
    </xdr:from>
    <xdr:to>
      <xdr:col>3</xdr:col>
      <xdr:colOff>180975</xdr:colOff>
      <xdr:row>18</xdr:row>
      <xdr:rowOff>0</xdr:rowOff>
    </xdr:to>
    <xdr:sp macro="" textlink="">
      <xdr:nvSpPr>
        <xdr:cNvPr id="9" name="STOWAGE_PLAN_DEFAULT_SHAPE_4595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917120" y="1480457"/>
          <a:ext cx="1092655" cy="2015218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283177</xdr:colOff>
      <xdr:row>9</xdr:row>
      <xdr:rowOff>103774</xdr:rowOff>
    </xdr:from>
    <xdr:to>
      <xdr:col>2</xdr:col>
      <xdr:colOff>504825</xdr:colOff>
      <xdr:row>14</xdr:row>
      <xdr:rowOff>181960</xdr:rowOff>
    </xdr:to>
    <xdr:sp macro="" textlink="">
      <xdr:nvSpPr>
        <xdr:cNvPr id="10" name="STOWAGE_PLAN_DEFAULT_SHAPE_75361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892777" y="1884949"/>
          <a:ext cx="831248" cy="10306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220cm</a:t>
          </a:r>
        </a:p>
      </xdr:txBody>
    </xdr:sp>
    <xdr:clientData/>
  </xdr:twoCellAnchor>
  <xdr:twoCellAnchor>
    <xdr:from>
      <xdr:col>10</xdr:col>
      <xdr:colOff>457435</xdr:colOff>
      <xdr:row>22</xdr:row>
      <xdr:rowOff>101523</xdr:rowOff>
    </xdr:from>
    <xdr:to>
      <xdr:col>13</xdr:col>
      <xdr:colOff>561974</xdr:colOff>
      <xdr:row>24</xdr:row>
      <xdr:rowOff>129920</xdr:rowOff>
    </xdr:to>
    <xdr:sp macro="" textlink="">
      <xdr:nvSpPr>
        <xdr:cNvPr id="11" name="STOWAGE_PLAN_DEFAULT_SHAPE_59603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6553435" y="4387773"/>
          <a:ext cx="1933339" cy="447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11</xdr:col>
      <xdr:colOff>561975</xdr:colOff>
      <xdr:row>7</xdr:row>
      <xdr:rowOff>89807</xdr:rowOff>
    </xdr:from>
    <xdr:to>
      <xdr:col>20</xdr:col>
      <xdr:colOff>400050</xdr:colOff>
      <xdr:row>17</xdr:row>
      <xdr:rowOff>180975</xdr:rowOff>
    </xdr:to>
    <xdr:sp macro="" textlink="">
      <xdr:nvSpPr>
        <xdr:cNvPr id="12" name="STOWAGE_PLAN_DEFAULT_SHAPE_832647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267575" y="1451882"/>
          <a:ext cx="5324475" cy="2034268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499307</xdr:colOff>
      <xdr:row>11</xdr:row>
      <xdr:rowOff>48978</xdr:rowOff>
    </xdr:from>
    <xdr:to>
      <xdr:col>16</xdr:col>
      <xdr:colOff>465740</xdr:colOff>
      <xdr:row>13</xdr:row>
      <xdr:rowOff>70807</xdr:rowOff>
    </xdr:to>
    <xdr:sp macro="" textlink="">
      <xdr:nvSpPr>
        <xdr:cNvPr id="13" name="STOWAGE_PLAN_DEFAULT_SHAPE_1875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8424107" y="2211153"/>
          <a:ext cx="179523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</a:p>
      </xdr:txBody>
    </xdr:sp>
    <xdr:clientData/>
  </xdr:twoCellAnchor>
  <xdr:twoCellAnchor>
    <xdr:from>
      <xdr:col>19</xdr:col>
      <xdr:colOff>185245</xdr:colOff>
      <xdr:row>10</xdr:row>
      <xdr:rowOff>26884</xdr:rowOff>
    </xdr:from>
    <xdr:to>
      <xdr:col>20</xdr:col>
      <xdr:colOff>488730</xdr:colOff>
      <xdr:row>14</xdr:row>
      <xdr:rowOff>133350</xdr:rowOff>
    </xdr:to>
    <xdr:sp macro="" textlink="">
      <xdr:nvSpPr>
        <xdr:cNvPr id="14" name="STOWAGE_PLAN_DEFAULT_SHAPE_21034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1767645" y="1998559"/>
          <a:ext cx="913085" cy="86846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 cm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F145"/>
  <sheetViews>
    <sheetView tabSelected="1" view="pageBreakPreview" zoomScale="85" zoomScaleNormal="70" zoomScaleSheetLayoutView="85" workbookViewId="0">
      <selection activeCell="CD25" sqref="CD25:CH25"/>
    </sheetView>
  </sheetViews>
  <sheetFormatPr defaultRowHeight="14.25"/>
  <cols>
    <col min="1" max="1" width="6" style="6" customWidth="1"/>
    <col min="2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1:110" ht="20.100000000000001" customHeight="1">
      <c r="A1" s="28"/>
      <c r="DF1" s="194"/>
    </row>
    <row r="2" spans="1:110" ht="20.100000000000001" customHeight="1">
      <c r="F2" s="87" t="s">
        <v>102</v>
      </c>
      <c r="AL2" s="583" t="s">
        <v>15</v>
      </c>
      <c r="AM2" s="583"/>
      <c r="AN2" s="583"/>
      <c r="AO2" s="583"/>
      <c r="AP2" s="583"/>
      <c r="AQ2" s="583"/>
      <c r="AR2" s="583"/>
      <c r="AS2" s="583"/>
      <c r="AT2" s="583"/>
      <c r="AU2" s="583"/>
      <c r="AV2" s="583"/>
      <c r="AW2" s="583"/>
      <c r="AX2" s="583"/>
      <c r="AY2" s="583"/>
      <c r="AZ2" s="583"/>
      <c r="BA2" s="583"/>
      <c r="BB2" s="583"/>
      <c r="BC2" s="583"/>
      <c r="BD2" s="583"/>
      <c r="BE2" s="583"/>
      <c r="BF2" s="583"/>
      <c r="BG2" s="583"/>
      <c r="BH2" s="583"/>
      <c r="BI2" s="583"/>
      <c r="BJ2" s="583"/>
      <c r="BK2" s="583"/>
      <c r="BL2" s="583"/>
      <c r="BM2" s="583"/>
      <c r="BO2" s="581" t="s">
        <v>16</v>
      </c>
      <c r="BP2" s="581"/>
      <c r="BQ2" s="581"/>
      <c r="BR2" s="581"/>
      <c r="BS2" s="581"/>
      <c r="BT2" s="581"/>
      <c r="BU2" s="546" t="s">
        <v>105</v>
      </c>
      <c r="BV2" s="546"/>
      <c r="BW2" s="546"/>
      <c r="BX2" s="546"/>
      <c r="BY2" s="546"/>
      <c r="BZ2" s="85"/>
      <c r="CA2" s="86"/>
      <c r="CB2" s="86"/>
      <c r="CC2" s="1"/>
      <c r="CD2" s="1"/>
    </row>
    <row r="3" spans="1:110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583"/>
      <c r="AM3" s="583"/>
      <c r="AN3" s="583"/>
      <c r="AO3" s="583"/>
      <c r="AP3" s="583"/>
      <c r="AQ3" s="583"/>
      <c r="AR3" s="583"/>
      <c r="AS3" s="583"/>
      <c r="AT3" s="583"/>
      <c r="AU3" s="583"/>
      <c r="AV3" s="583"/>
      <c r="AW3" s="583"/>
      <c r="AX3" s="583"/>
      <c r="AY3" s="583"/>
      <c r="AZ3" s="583"/>
      <c r="BA3" s="583"/>
      <c r="BB3" s="583"/>
      <c r="BC3" s="583"/>
      <c r="BD3" s="583"/>
      <c r="BE3" s="583"/>
      <c r="BF3" s="583"/>
      <c r="BG3" s="583"/>
      <c r="BH3" s="583"/>
      <c r="BI3" s="583"/>
      <c r="BJ3" s="583"/>
      <c r="BK3" s="583"/>
      <c r="BL3" s="583"/>
      <c r="BM3" s="583"/>
      <c r="BN3" s="21"/>
      <c r="BO3" s="581" t="s">
        <v>17</v>
      </c>
      <c r="BP3" s="581"/>
      <c r="BQ3" s="581"/>
      <c r="BR3" s="581"/>
      <c r="BS3" s="581"/>
      <c r="BT3" s="581"/>
      <c r="BU3" s="546" t="s">
        <v>104</v>
      </c>
      <c r="BV3" s="546"/>
      <c r="BW3" s="546"/>
      <c r="BX3" s="546"/>
      <c r="BY3" s="546"/>
      <c r="BZ3" s="546"/>
      <c r="CA3" s="546"/>
      <c r="CB3" s="546"/>
      <c r="CC3" s="546"/>
      <c r="CD3" s="566" t="s">
        <v>0</v>
      </c>
      <c r="CE3" s="566"/>
      <c r="CF3" s="566"/>
      <c r="CG3" s="545">
        <v>44133</v>
      </c>
      <c r="CH3" s="545"/>
      <c r="CI3" s="545"/>
      <c r="CJ3" s="545"/>
      <c r="CK3" s="545"/>
      <c r="CL3" s="545"/>
      <c r="CM3" s="545"/>
      <c r="CN3" s="21"/>
      <c r="CO3" s="21"/>
      <c r="CQ3" s="21"/>
      <c r="CR3" s="21"/>
      <c r="CS3" s="21"/>
      <c r="CT3" s="21"/>
      <c r="CU3" s="21"/>
      <c r="CV3" s="21"/>
      <c r="CW3" s="21"/>
    </row>
    <row r="4" spans="1:110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1:110" ht="20.100000000000001" customHeight="1" thickTop="1">
      <c r="B5" s="355" t="s">
        <v>49</v>
      </c>
      <c r="C5" s="356"/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356"/>
      <c r="O5" s="356"/>
      <c r="P5" s="357"/>
      <c r="Q5" s="355" t="s">
        <v>6</v>
      </c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6"/>
      <c r="AP5" s="356"/>
      <c r="AQ5" s="356"/>
      <c r="AR5" s="356"/>
      <c r="AS5" s="356"/>
      <c r="AT5" s="357"/>
      <c r="AU5" s="552" t="s">
        <v>8</v>
      </c>
      <c r="AV5" s="553"/>
      <c r="AW5" s="553"/>
      <c r="AX5" s="553"/>
      <c r="AY5" s="553"/>
      <c r="AZ5" s="553"/>
      <c r="BA5" s="553"/>
      <c r="BB5" s="553"/>
      <c r="BC5" s="553"/>
      <c r="BD5" s="554"/>
      <c r="BE5" s="552" t="s">
        <v>9</v>
      </c>
      <c r="BF5" s="553"/>
      <c r="BG5" s="553"/>
      <c r="BH5" s="553"/>
      <c r="BI5" s="553"/>
      <c r="BJ5" s="553"/>
      <c r="BK5" s="553"/>
      <c r="BL5" s="553"/>
      <c r="BM5" s="553"/>
      <c r="BN5" s="554"/>
      <c r="BO5" s="552" t="s">
        <v>10</v>
      </c>
      <c r="BP5" s="553"/>
      <c r="BQ5" s="553"/>
      <c r="BR5" s="553"/>
      <c r="BS5" s="553"/>
      <c r="BT5" s="553"/>
      <c r="BU5" s="553"/>
      <c r="BV5" s="553"/>
      <c r="BW5" s="553"/>
      <c r="BX5" s="554"/>
      <c r="BY5" s="552" t="s">
        <v>11</v>
      </c>
      <c r="BZ5" s="553"/>
      <c r="CA5" s="553"/>
      <c r="CB5" s="553"/>
      <c r="CC5" s="553"/>
      <c r="CD5" s="553"/>
      <c r="CE5" s="553"/>
      <c r="CF5" s="553"/>
      <c r="CG5" s="553"/>
      <c r="CH5" s="554"/>
      <c r="CI5" s="558" t="s">
        <v>7</v>
      </c>
      <c r="CJ5" s="559"/>
      <c r="CK5" s="559"/>
      <c r="CL5" s="559"/>
      <c r="CM5" s="559"/>
      <c r="CN5" s="559"/>
      <c r="CO5" s="559"/>
      <c r="CP5" s="559"/>
      <c r="CQ5" s="559"/>
      <c r="CR5" s="559"/>
      <c r="CS5" s="559"/>
      <c r="CT5" s="559"/>
      <c r="CU5" s="559"/>
      <c r="CV5" s="559"/>
      <c r="CW5" s="559"/>
      <c r="CX5" s="559"/>
      <c r="CY5" s="559"/>
      <c r="CZ5" s="559"/>
      <c r="DA5" s="559"/>
      <c r="DB5" s="560"/>
    </row>
    <row r="6" spans="1:110" ht="20.100000000000001" customHeight="1" thickBot="1">
      <c r="B6" s="358"/>
      <c r="C6" s="359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60"/>
      <c r="Q6" s="358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59"/>
      <c r="AP6" s="359"/>
      <c r="AQ6" s="359"/>
      <c r="AR6" s="359"/>
      <c r="AS6" s="359"/>
      <c r="AT6" s="360"/>
      <c r="AU6" s="555"/>
      <c r="AV6" s="556"/>
      <c r="AW6" s="556"/>
      <c r="AX6" s="556"/>
      <c r="AY6" s="556"/>
      <c r="AZ6" s="556"/>
      <c r="BA6" s="556"/>
      <c r="BB6" s="556"/>
      <c r="BC6" s="556"/>
      <c r="BD6" s="557"/>
      <c r="BE6" s="555"/>
      <c r="BF6" s="556"/>
      <c r="BG6" s="556"/>
      <c r="BH6" s="556"/>
      <c r="BI6" s="556"/>
      <c r="BJ6" s="556"/>
      <c r="BK6" s="556"/>
      <c r="BL6" s="556"/>
      <c r="BM6" s="556"/>
      <c r="BN6" s="557"/>
      <c r="BO6" s="555"/>
      <c r="BP6" s="556"/>
      <c r="BQ6" s="556"/>
      <c r="BR6" s="556"/>
      <c r="BS6" s="556"/>
      <c r="BT6" s="556"/>
      <c r="BU6" s="556"/>
      <c r="BV6" s="556"/>
      <c r="BW6" s="556"/>
      <c r="BX6" s="557"/>
      <c r="BY6" s="555"/>
      <c r="BZ6" s="556"/>
      <c r="CA6" s="556"/>
      <c r="CB6" s="556"/>
      <c r="CC6" s="556"/>
      <c r="CD6" s="556"/>
      <c r="CE6" s="556"/>
      <c r="CF6" s="556"/>
      <c r="CG6" s="556"/>
      <c r="CH6" s="557"/>
      <c r="CI6" s="561" t="s">
        <v>13</v>
      </c>
      <c r="CJ6" s="562"/>
      <c r="CK6" s="562"/>
      <c r="CL6" s="562"/>
      <c r="CM6" s="562"/>
      <c r="CN6" s="562"/>
      <c r="CO6" s="562"/>
      <c r="CP6" s="562"/>
      <c r="CQ6" s="562"/>
      <c r="CR6" s="562"/>
      <c r="CS6" s="562" t="s">
        <v>18</v>
      </c>
      <c r="CT6" s="562"/>
      <c r="CU6" s="562"/>
      <c r="CV6" s="562"/>
      <c r="CW6" s="562"/>
      <c r="CX6" s="562"/>
      <c r="CY6" s="562"/>
      <c r="CZ6" s="562"/>
      <c r="DA6" s="562"/>
      <c r="DB6" s="563"/>
    </row>
    <row r="7" spans="1:110" ht="19.5" thickTop="1" thickBot="1">
      <c r="B7" s="361" t="s">
        <v>51</v>
      </c>
      <c r="C7" s="351"/>
      <c r="D7" s="351"/>
      <c r="E7" s="351"/>
      <c r="F7" s="351"/>
      <c r="G7" s="351"/>
      <c r="H7" s="351"/>
      <c r="I7" s="351"/>
      <c r="J7" s="351"/>
      <c r="K7" s="351"/>
      <c r="L7" s="351"/>
      <c r="M7" s="362"/>
      <c r="N7" s="350" t="s">
        <v>50</v>
      </c>
      <c r="O7" s="351"/>
      <c r="P7" s="352"/>
      <c r="Q7" s="229" t="s">
        <v>58</v>
      </c>
      <c r="R7" s="230"/>
      <c r="S7" s="231"/>
      <c r="T7" s="229" t="s">
        <v>91</v>
      </c>
      <c r="U7" s="230"/>
      <c r="V7" s="231"/>
      <c r="W7" s="229"/>
      <c r="X7" s="230"/>
      <c r="Y7" s="231"/>
      <c r="Z7" s="229"/>
      <c r="AA7" s="230"/>
      <c r="AB7" s="231"/>
      <c r="AC7" s="229"/>
      <c r="AD7" s="230"/>
      <c r="AE7" s="231"/>
      <c r="AF7" s="229"/>
      <c r="AG7" s="230"/>
      <c r="AH7" s="231"/>
      <c r="AI7" s="229"/>
      <c r="AJ7" s="230"/>
      <c r="AK7" s="231"/>
      <c r="AL7" s="229"/>
      <c r="AM7" s="230"/>
      <c r="AN7" s="231"/>
      <c r="AO7" s="229"/>
      <c r="AP7" s="230"/>
      <c r="AQ7" s="231"/>
      <c r="AR7" s="229"/>
      <c r="AS7" s="230"/>
      <c r="AT7" s="231"/>
      <c r="AU7" s="361" t="s">
        <v>13</v>
      </c>
      <c r="AV7" s="351"/>
      <c r="AW7" s="351"/>
      <c r="AX7" s="351"/>
      <c r="AY7" s="351"/>
      <c r="AZ7" s="350" t="s">
        <v>19</v>
      </c>
      <c r="BA7" s="351"/>
      <c r="BB7" s="351"/>
      <c r="BC7" s="351"/>
      <c r="BD7" s="362"/>
      <c r="BE7" s="361" t="s">
        <v>13</v>
      </c>
      <c r="BF7" s="351"/>
      <c r="BG7" s="351"/>
      <c r="BH7" s="351"/>
      <c r="BI7" s="351"/>
      <c r="BJ7" s="350" t="s">
        <v>19</v>
      </c>
      <c r="BK7" s="351"/>
      <c r="BL7" s="351"/>
      <c r="BM7" s="351"/>
      <c r="BN7" s="362"/>
      <c r="BO7" s="361" t="s">
        <v>13</v>
      </c>
      <c r="BP7" s="351"/>
      <c r="BQ7" s="351"/>
      <c r="BR7" s="351"/>
      <c r="BS7" s="351"/>
      <c r="BT7" s="350" t="s">
        <v>19</v>
      </c>
      <c r="BU7" s="351"/>
      <c r="BV7" s="351"/>
      <c r="BW7" s="351"/>
      <c r="BX7" s="362"/>
      <c r="BY7" s="361" t="s">
        <v>13</v>
      </c>
      <c r="BZ7" s="351"/>
      <c r="CA7" s="351"/>
      <c r="CB7" s="351"/>
      <c r="CC7" s="351"/>
      <c r="CD7" s="350" t="s">
        <v>19</v>
      </c>
      <c r="CE7" s="351"/>
      <c r="CF7" s="351"/>
      <c r="CG7" s="351"/>
      <c r="CH7" s="352"/>
      <c r="CI7" s="361" t="s">
        <v>13</v>
      </c>
      <c r="CJ7" s="351"/>
      <c r="CK7" s="351"/>
      <c r="CL7" s="351"/>
      <c r="CM7" s="351"/>
      <c r="CN7" s="350" t="s">
        <v>19</v>
      </c>
      <c r="CO7" s="351"/>
      <c r="CP7" s="351"/>
      <c r="CQ7" s="351"/>
      <c r="CR7" s="352"/>
      <c r="CS7" s="574" t="s">
        <v>20</v>
      </c>
      <c r="CT7" s="570"/>
      <c r="CU7" s="570"/>
      <c r="CV7" s="570"/>
      <c r="CW7" s="570"/>
      <c r="CX7" s="570" t="s">
        <v>19</v>
      </c>
      <c r="CY7" s="570"/>
      <c r="CZ7" s="570"/>
      <c r="DA7" s="570"/>
      <c r="DB7" s="571"/>
    </row>
    <row r="8" spans="1:110" ht="19.5" hidden="1" thickTop="1" thickBot="1"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1"/>
      <c r="CR8" s="171"/>
      <c r="CS8" s="171"/>
      <c r="CT8" s="171"/>
      <c r="CU8" s="171"/>
      <c r="CV8" s="171"/>
      <c r="CW8" s="171"/>
      <c r="CX8" s="171"/>
      <c r="CY8" s="171"/>
      <c r="CZ8" s="171"/>
      <c r="DA8" s="171"/>
      <c r="DB8" s="171"/>
    </row>
    <row r="9" spans="1:110" ht="18.75" thickTop="1">
      <c r="B9" s="337" t="s">
        <v>89</v>
      </c>
      <c r="C9" s="338"/>
      <c r="D9" s="338"/>
      <c r="E9" s="338"/>
      <c r="F9" s="338"/>
      <c r="G9" s="338"/>
      <c r="H9" s="338"/>
      <c r="I9" s="338"/>
      <c r="J9" s="338"/>
      <c r="K9" s="338"/>
      <c r="L9" s="338"/>
      <c r="M9" s="339"/>
      <c r="N9" s="364" t="s">
        <v>90</v>
      </c>
      <c r="O9" s="365"/>
      <c r="P9" s="366"/>
      <c r="Q9" s="372">
        <v>473</v>
      </c>
      <c r="R9" s="363"/>
      <c r="S9" s="363"/>
      <c r="T9" s="363">
        <v>23</v>
      </c>
      <c r="U9" s="363"/>
      <c r="V9" s="363"/>
      <c r="W9" s="363"/>
      <c r="X9" s="363"/>
      <c r="Y9" s="363"/>
      <c r="Z9" s="363"/>
      <c r="AA9" s="363"/>
      <c r="AB9" s="363"/>
      <c r="AC9" s="363"/>
      <c r="AD9" s="363"/>
      <c r="AE9" s="363"/>
      <c r="AF9" s="363"/>
      <c r="AG9" s="363"/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584"/>
      <c r="AU9" s="370">
        <v>119</v>
      </c>
      <c r="AV9" s="371"/>
      <c r="AW9" s="371"/>
      <c r="AX9" s="371"/>
      <c r="AY9" s="371"/>
      <c r="AZ9" s="572">
        <v>175.5</v>
      </c>
      <c r="BA9" s="572"/>
      <c r="BB9" s="572"/>
      <c r="BC9" s="572"/>
      <c r="BD9" s="572"/>
      <c r="BE9" s="371">
        <v>211</v>
      </c>
      <c r="BF9" s="371"/>
      <c r="BG9" s="371"/>
      <c r="BH9" s="371"/>
      <c r="BI9" s="371"/>
      <c r="BJ9" s="572">
        <v>466.2</v>
      </c>
      <c r="BK9" s="572"/>
      <c r="BL9" s="572"/>
      <c r="BM9" s="572"/>
      <c r="BN9" s="572"/>
      <c r="BO9" s="371">
        <v>90</v>
      </c>
      <c r="BP9" s="371"/>
      <c r="BQ9" s="371"/>
      <c r="BR9" s="371"/>
      <c r="BS9" s="371"/>
      <c r="BT9" s="572">
        <v>145.89999999999998</v>
      </c>
      <c r="BU9" s="572"/>
      <c r="BV9" s="572"/>
      <c r="BW9" s="572"/>
      <c r="BX9" s="572"/>
      <c r="BY9" s="371">
        <v>45</v>
      </c>
      <c r="BZ9" s="371"/>
      <c r="CA9" s="371"/>
      <c r="CB9" s="371"/>
      <c r="CC9" s="371"/>
      <c r="CD9" s="572">
        <v>12.3</v>
      </c>
      <c r="CE9" s="572"/>
      <c r="CF9" s="572"/>
      <c r="CG9" s="572"/>
      <c r="CH9" s="573"/>
      <c r="CI9" s="588">
        <v>465</v>
      </c>
      <c r="CJ9" s="589"/>
      <c r="CK9" s="589"/>
      <c r="CL9" s="589"/>
      <c r="CM9" s="590"/>
      <c r="CN9" s="585">
        <v>799.9</v>
      </c>
      <c r="CO9" s="586"/>
      <c r="CP9" s="586"/>
      <c r="CQ9" s="586"/>
      <c r="CR9" s="587"/>
      <c r="CS9" s="370">
        <v>24</v>
      </c>
      <c r="CT9" s="371"/>
      <c r="CU9" s="371"/>
      <c r="CV9" s="371"/>
      <c r="CW9" s="371"/>
      <c r="CX9" s="572">
        <v>35.299999999999997</v>
      </c>
      <c r="CY9" s="572"/>
      <c r="CZ9" s="572"/>
      <c r="DA9" s="572"/>
      <c r="DB9" s="573"/>
    </row>
    <row r="10" spans="1:110" s="84" customFormat="1" ht="20.100000000000001" customHeight="1">
      <c r="B10" s="375" t="s">
        <v>92</v>
      </c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76"/>
      <c r="N10" s="367" t="s">
        <v>93</v>
      </c>
      <c r="O10" s="368"/>
      <c r="P10" s="369"/>
      <c r="Q10" s="576"/>
      <c r="R10" s="354"/>
      <c r="S10" s="354"/>
      <c r="T10" s="354">
        <v>25</v>
      </c>
      <c r="U10" s="354"/>
      <c r="V10" s="354"/>
      <c r="W10" s="354"/>
      <c r="X10" s="354"/>
      <c r="Y10" s="354"/>
      <c r="Z10" s="354"/>
      <c r="AA10" s="354"/>
      <c r="AB10" s="354"/>
      <c r="AC10" s="354"/>
      <c r="AD10" s="354"/>
      <c r="AE10" s="354"/>
      <c r="AF10" s="354"/>
      <c r="AG10" s="354"/>
      <c r="AH10" s="354"/>
      <c r="AI10" s="354"/>
      <c r="AJ10" s="354"/>
      <c r="AK10" s="354"/>
      <c r="AL10" s="354"/>
      <c r="AM10" s="354"/>
      <c r="AN10" s="354"/>
      <c r="AO10" s="354"/>
      <c r="AP10" s="354"/>
      <c r="AQ10" s="354"/>
      <c r="AR10" s="354"/>
      <c r="AS10" s="354"/>
      <c r="AT10" s="580"/>
      <c r="AU10" s="373"/>
      <c r="AV10" s="374"/>
      <c r="AW10" s="374"/>
      <c r="AX10" s="374"/>
      <c r="AY10" s="374"/>
      <c r="AZ10" s="353"/>
      <c r="BA10" s="353"/>
      <c r="BB10" s="353"/>
      <c r="BC10" s="353"/>
      <c r="BD10" s="353"/>
      <c r="BE10" s="374">
        <v>36</v>
      </c>
      <c r="BF10" s="374"/>
      <c r="BG10" s="374"/>
      <c r="BH10" s="374"/>
      <c r="BI10" s="374"/>
      <c r="BJ10" s="353">
        <v>304.60000000000002</v>
      </c>
      <c r="BK10" s="353"/>
      <c r="BL10" s="353"/>
      <c r="BM10" s="353"/>
      <c r="BN10" s="353"/>
      <c r="BO10" s="374">
        <v>89</v>
      </c>
      <c r="BP10" s="374"/>
      <c r="BQ10" s="374"/>
      <c r="BR10" s="374"/>
      <c r="BS10" s="374"/>
      <c r="BT10" s="353">
        <v>12.3</v>
      </c>
      <c r="BU10" s="353"/>
      <c r="BV10" s="353"/>
      <c r="BW10" s="353"/>
      <c r="BX10" s="353"/>
      <c r="BY10" s="374"/>
      <c r="BZ10" s="374"/>
      <c r="CA10" s="374"/>
      <c r="CB10" s="374"/>
      <c r="CC10" s="374"/>
      <c r="CD10" s="353"/>
      <c r="CE10" s="353"/>
      <c r="CF10" s="353"/>
      <c r="CG10" s="353"/>
      <c r="CH10" s="575"/>
      <c r="CI10" s="567">
        <v>125</v>
      </c>
      <c r="CJ10" s="568"/>
      <c r="CK10" s="568"/>
      <c r="CL10" s="568"/>
      <c r="CM10" s="569"/>
      <c r="CN10" s="591">
        <v>316.90000000000003</v>
      </c>
      <c r="CO10" s="592"/>
      <c r="CP10" s="592"/>
      <c r="CQ10" s="592"/>
      <c r="CR10" s="593"/>
      <c r="CS10" s="373"/>
      <c r="CT10" s="374"/>
      <c r="CU10" s="374"/>
      <c r="CV10" s="374"/>
      <c r="CW10" s="374"/>
      <c r="CX10" s="353"/>
      <c r="CY10" s="353"/>
      <c r="CZ10" s="353"/>
      <c r="DA10" s="353"/>
      <c r="DB10" s="575"/>
    </row>
    <row r="11" spans="1:110" ht="20.100000000000001" customHeight="1">
      <c r="B11" s="340" t="s">
        <v>56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2"/>
      <c r="N11" s="346" t="s">
        <v>57</v>
      </c>
      <c r="O11" s="341"/>
      <c r="P11" s="347"/>
      <c r="Q11" s="349">
        <v>8</v>
      </c>
      <c r="R11" s="319"/>
      <c r="S11" s="319"/>
      <c r="T11" s="319"/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619"/>
      <c r="AU11" s="564"/>
      <c r="AV11" s="565"/>
      <c r="AW11" s="565"/>
      <c r="AX11" s="565"/>
      <c r="AY11" s="565"/>
      <c r="AZ11" s="550"/>
      <c r="BA11" s="550"/>
      <c r="BB11" s="550"/>
      <c r="BC11" s="550"/>
      <c r="BD11" s="550"/>
      <c r="BE11" s="565"/>
      <c r="BF11" s="565"/>
      <c r="BG11" s="565"/>
      <c r="BH11" s="565"/>
      <c r="BI11" s="565"/>
      <c r="BJ11" s="550"/>
      <c r="BK11" s="550"/>
      <c r="BL11" s="550"/>
      <c r="BM11" s="550"/>
      <c r="BN11" s="550"/>
      <c r="BO11" s="565"/>
      <c r="BP11" s="565"/>
      <c r="BQ11" s="565"/>
      <c r="BR11" s="565"/>
      <c r="BS11" s="565"/>
      <c r="BT11" s="550"/>
      <c r="BU11" s="550"/>
      <c r="BV11" s="550"/>
      <c r="BW11" s="550"/>
      <c r="BX11" s="550"/>
      <c r="BY11" s="565"/>
      <c r="BZ11" s="565"/>
      <c r="CA11" s="565"/>
      <c r="CB11" s="565"/>
      <c r="CC11" s="565"/>
      <c r="CD11" s="550"/>
      <c r="CE11" s="550"/>
      <c r="CF11" s="550"/>
      <c r="CG11" s="550"/>
      <c r="CH11" s="551"/>
      <c r="CI11" s="609"/>
      <c r="CJ11" s="610"/>
      <c r="CK11" s="610"/>
      <c r="CL11" s="610"/>
      <c r="CM11" s="611"/>
      <c r="CN11" s="547"/>
      <c r="CO11" s="548"/>
      <c r="CP11" s="548"/>
      <c r="CQ11" s="548"/>
      <c r="CR11" s="549"/>
      <c r="CS11" s="564">
        <v>8</v>
      </c>
      <c r="CT11" s="565"/>
      <c r="CU11" s="565"/>
      <c r="CV11" s="565"/>
      <c r="CW11" s="565"/>
      <c r="CX11" s="550">
        <v>15.8</v>
      </c>
      <c r="CY11" s="550"/>
      <c r="CZ11" s="550"/>
      <c r="DA11" s="550"/>
      <c r="DB11" s="551"/>
    </row>
    <row r="12" spans="1:110" ht="20.100000000000001" customHeight="1">
      <c r="B12" s="320" t="s">
        <v>94</v>
      </c>
      <c r="C12" s="321"/>
      <c r="D12" s="321"/>
      <c r="E12" s="321"/>
      <c r="F12" s="321"/>
      <c r="G12" s="321"/>
      <c r="H12" s="321"/>
      <c r="I12" s="321"/>
      <c r="J12" s="321"/>
      <c r="K12" s="321"/>
      <c r="L12" s="321"/>
      <c r="M12" s="322"/>
      <c r="N12" s="344" t="s">
        <v>95</v>
      </c>
      <c r="O12" s="321"/>
      <c r="P12" s="345"/>
      <c r="Q12" s="331"/>
      <c r="R12" s="323"/>
      <c r="S12" s="323"/>
      <c r="T12" s="323"/>
      <c r="U12" s="323"/>
      <c r="V12" s="323"/>
      <c r="W12" s="323"/>
      <c r="X12" s="323"/>
      <c r="Y12" s="323"/>
      <c r="Z12" s="323"/>
      <c r="AA12" s="323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  <c r="AL12" s="323"/>
      <c r="AM12" s="323"/>
      <c r="AN12" s="323"/>
      <c r="AO12" s="323"/>
      <c r="AP12" s="323"/>
      <c r="AQ12" s="323"/>
      <c r="AR12" s="323"/>
      <c r="AS12" s="323"/>
      <c r="AT12" s="579"/>
      <c r="AU12" s="577"/>
      <c r="AV12" s="578"/>
      <c r="AW12" s="578"/>
      <c r="AX12" s="578"/>
      <c r="AY12" s="578"/>
      <c r="AZ12" s="582"/>
      <c r="BA12" s="582"/>
      <c r="BB12" s="582"/>
      <c r="BC12" s="582"/>
      <c r="BD12" s="582"/>
      <c r="BE12" s="578"/>
      <c r="BF12" s="578"/>
      <c r="BG12" s="578"/>
      <c r="BH12" s="578"/>
      <c r="BI12" s="578"/>
      <c r="BJ12" s="582"/>
      <c r="BK12" s="582"/>
      <c r="BL12" s="582"/>
      <c r="BM12" s="582"/>
      <c r="BN12" s="582"/>
      <c r="BO12" s="578"/>
      <c r="BP12" s="578"/>
      <c r="BQ12" s="578"/>
      <c r="BR12" s="578"/>
      <c r="BS12" s="578"/>
      <c r="BT12" s="582"/>
      <c r="BU12" s="582"/>
      <c r="BV12" s="582"/>
      <c r="BW12" s="582"/>
      <c r="BX12" s="582"/>
      <c r="BY12" s="578"/>
      <c r="BZ12" s="578"/>
      <c r="CA12" s="578"/>
      <c r="CB12" s="578"/>
      <c r="CC12" s="578"/>
      <c r="CD12" s="582"/>
      <c r="CE12" s="582"/>
      <c r="CF12" s="582"/>
      <c r="CG12" s="582"/>
      <c r="CH12" s="601"/>
      <c r="CI12" s="602"/>
      <c r="CJ12" s="603"/>
      <c r="CK12" s="603"/>
      <c r="CL12" s="603"/>
      <c r="CM12" s="604"/>
      <c r="CN12" s="605"/>
      <c r="CO12" s="606"/>
      <c r="CP12" s="606"/>
      <c r="CQ12" s="606"/>
      <c r="CR12" s="607"/>
      <c r="CS12" s="577"/>
      <c r="CT12" s="578"/>
      <c r="CU12" s="578"/>
      <c r="CV12" s="578"/>
      <c r="CW12" s="578"/>
      <c r="CX12" s="582"/>
      <c r="CY12" s="582"/>
      <c r="CZ12" s="582"/>
      <c r="DA12" s="582"/>
      <c r="DB12" s="601"/>
    </row>
    <row r="13" spans="1:110" ht="20.100000000000001" customHeight="1" thickBot="1">
      <c r="B13" s="263" t="s">
        <v>96</v>
      </c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5"/>
      <c r="N13" s="270" t="s">
        <v>97</v>
      </c>
      <c r="O13" s="264"/>
      <c r="P13" s="271"/>
      <c r="Q13" s="343"/>
      <c r="R13" s="266"/>
      <c r="S13" s="266"/>
      <c r="T13" s="266">
        <v>50</v>
      </c>
      <c r="U13" s="266"/>
      <c r="V13" s="266"/>
      <c r="W13" s="266"/>
      <c r="X13" s="266"/>
      <c r="Y13" s="266"/>
      <c r="Z13" s="266"/>
      <c r="AA13" s="266"/>
      <c r="AB13" s="266"/>
      <c r="AC13" s="266"/>
      <c r="AD13" s="266"/>
      <c r="AE13" s="266"/>
      <c r="AF13" s="266"/>
      <c r="AG13" s="266"/>
      <c r="AH13" s="266"/>
      <c r="AI13" s="266"/>
      <c r="AJ13" s="266"/>
      <c r="AK13" s="266"/>
      <c r="AL13" s="266"/>
      <c r="AM13" s="266"/>
      <c r="AN13" s="266"/>
      <c r="AO13" s="266"/>
      <c r="AP13" s="266"/>
      <c r="AQ13" s="266"/>
      <c r="AR13" s="266"/>
      <c r="AS13" s="266"/>
      <c r="AT13" s="608"/>
      <c r="AU13" s="482">
        <v>59</v>
      </c>
      <c r="AV13" s="483"/>
      <c r="AW13" s="483"/>
      <c r="AX13" s="483"/>
      <c r="AY13" s="483"/>
      <c r="AZ13" s="484">
        <v>270.60000000000002</v>
      </c>
      <c r="BA13" s="484"/>
      <c r="BB13" s="484"/>
      <c r="BC13" s="484"/>
      <c r="BD13" s="484"/>
      <c r="BE13" s="483"/>
      <c r="BF13" s="483"/>
      <c r="BG13" s="483"/>
      <c r="BH13" s="483"/>
      <c r="BI13" s="483"/>
      <c r="BJ13" s="484"/>
      <c r="BK13" s="484"/>
      <c r="BL13" s="484"/>
      <c r="BM13" s="484"/>
      <c r="BN13" s="484"/>
      <c r="BO13" s="483"/>
      <c r="BP13" s="483"/>
      <c r="BQ13" s="483"/>
      <c r="BR13" s="483"/>
      <c r="BS13" s="483"/>
      <c r="BT13" s="484"/>
      <c r="BU13" s="484"/>
      <c r="BV13" s="484"/>
      <c r="BW13" s="484"/>
      <c r="BX13" s="484"/>
      <c r="BY13" s="483"/>
      <c r="BZ13" s="483"/>
      <c r="CA13" s="483"/>
      <c r="CB13" s="483"/>
      <c r="CC13" s="483"/>
      <c r="CD13" s="484"/>
      <c r="CE13" s="484"/>
      <c r="CF13" s="484"/>
      <c r="CG13" s="484"/>
      <c r="CH13" s="488"/>
      <c r="CI13" s="502">
        <v>59</v>
      </c>
      <c r="CJ13" s="503"/>
      <c r="CK13" s="503"/>
      <c r="CL13" s="503"/>
      <c r="CM13" s="504"/>
      <c r="CN13" s="598">
        <v>270.60000000000002</v>
      </c>
      <c r="CO13" s="599"/>
      <c r="CP13" s="599"/>
      <c r="CQ13" s="599"/>
      <c r="CR13" s="600"/>
      <c r="CS13" s="482">
        <v>23</v>
      </c>
      <c r="CT13" s="483"/>
      <c r="CU13" s="483"/>
      <c r="CV13" s="483"/>
      <c r="CW13" s="483"/>
      <c r="CX13" s="484">
        <v>44</v>
      </c>
      <c r="CY13" s="484"/>
      <c r="CZ13" s="484"/>
      <c r="DA13" s="484"/>
      <c r="DB13" s="488"/>
    </row>
    <row r="14" spans="1:110" ht="20.100000000000001" hidden="1" customHeight="1">
      <c r="B14" s="274"/>
      <c r="C14" s="275"/>
      <c r="D14" s="275"/>
      <c r="E14" s="275"/>
      <c r="F14" s="275"/>
      <c r="G14" s="275"/>
      <c r="H14" s="275"/>
      <c r="I14" s="275"/>
      <c r="J14" s="275"/>
      <c r="K14" s="275"/>
      <c r="L14" s="275"/>
      <c r="M14" s="276"/>
      <c r="N14" s="327"/>
      <c r="O14" s="275"/>
      <c r="P14" s="328"/>
      <c r="Q14" s="348"/>
      <c r="R14" s="278"/>
      <c r="S14" s="278"/>
      <c r="T14" s="278"/>
      <c r="U14" s="278"/>
      <c r="V14" s="278"/>
      <c r="W14" s="278"/>
      <c r="X14" s="278"/>
      <c r="Y14" s="278"/>
      <c r="Z14" s="278"/>
      <c r="AA14" s="278"/>
      <c r="AB14" s="278"/>
      <c r="AC14" s="278"/>
      <c r="AD14" s="278"/>
      <c r="AE14" s="278"/>
      <c r="AF14" s="278"/>
      <c r="AG14" s="278"/>
      <c r="AH14" s="278"/>
      <c r="AI14" s="278"/>
      <c r="AJ14" s="278"/>
      <c r="AK14" s="278"/>
      <c r="AL14" s="278"/>
      <c r="AM14" s="278"/>
      <c r="AN14" s="278"/>
      <c r="AO14" s="278"/>
      <c r="AP14" s="278"/>
      <c r="AQ14" s="278"/>
      <c r="AR14" s="278"/>
      <c r="AS14" s="278"/>
      <c r="AT14" s="618"/>
      <c r="AU14" s="516"/>
      <c r="AV14" s="517"/>
      <c r="AW14" s="517"/>
      <c r="AX14" s="517"/>
      <c r="AY14" s="517"/>
      <c r="AZ14" s="514"/>
      <c r="BA14" s="514"/>
      <c r="BB14" s="514"/>
      <c r="BC14" s="514"/>
      <c r="BD14" s="514"/>
      <c r="BE14" s="517"/>
      <c r="BF14" s="517"/>
      <c r="BG14" s="517"/>
      <c r="BH14" s="517"/>
      <c r="BI14" s="517"/>
      <c r="BJ14" s="514"/>
      <c r="BK14" s="514"/>
      <c r="BL14" s="514"/>
      <c r="BM14" s="514"/>
      <c r="BN14" s="514"/>
      <c r="BO14" s="517"/>
      <c r="BP14" s="517"/>
      <c r="BQ14" s="517"/>
      <c r="BR14" s="517"/>
      <c r="BS14" s="517"/>
      <c r="BT14" s="514"/>
      <c r="BU14" s="514"/>
      <c r="BV14" s="514"/>
      <c r="BW14" s="514"/>
      <c r="BX14" s="514"/>
      <c r="BY14" s="517"/>
      <c r="BZ14" s="517"/>
      <c r="CA14" s="517"/>
      <c r="CB14" s="517"/>
      <c r="CC14" s="517"/>
      <c r="CD14" s="514"/>
      <c r="CE14" s="514"/>
      <c r="CF14" s="514"/>
      <c r="CG14" s="514"/>
      <c r="CH14" s="515"/>
      <c r="CI14" s="511"/>
      <c r="CJ14" s="512"/>
      <c r="CK14" s="512"/>
      <c r="CL14" s="512"/>
      <c r="CM14" s="513"/>
      <c r="CN14" s="508"/>
      <c r="CO14" s="509"/>
      <c r="CP14" s="509"/>
      <c r="CQ14" s="509"/>
      <c r="CR14" s="510"/>
      <c r="CS14" s="516"/>
      <c r="CT14" s="517"/>
      <c r="CU14" s="517"/>
      <c r="CV14" s="517"/>
      <c r="CW14" s="517"/>
      <c r="CX14" s="514"/>
      <c r="CY14" s="514"/>
      <c r="CZ14" s="514"/>
      <c r="DA14" s="514"/>
      <c r="DB14" s="515"/>
    </row>
    <row r="15" spans="1:110" ht="20.100000000000001" hidden="1" customHeight="1">
      <c r="B15" s="329"/>
      <c r="C15" s="325"/>
      <c r="D15" s="325"/>
      <c r="E15" s="325"/>
      <c r="F15" s="325"/>
      <c r="G15" s="325"/>
      <c r="H15" s="325"/>
      <c r="I15" s="325"/>
      <c r="J15" s="325"/>
      <c r="K15" s="325"/>
      <c r="L15" s="325"/>
      <c r="M15" s="330"/>
      <c r="N15" s="324"/>
      <c r="O15" s="325"/>
      <c r="P15" s="326"/>
      <c r="Q15" s="336"/>
      <c r="R15" s="279"/>
      <c r="S15" s="279"/>
      <c r="T15" s="279"/>
      <c r="U15" s="279"/>
      <c r="V15" s="279"/>
      <c r="W15" s="279"/>
      <c r="X15" s="279"/>
      <c r="Y15" s="279"/>
      <c r="Z15" s="279"/>
      <c r="AA15" s="279"/>
      <c r="AB15" s="279"/>
      <c r="AC15" s="279"/>
      <c r="AD15" s="279"/>
      <c r="AE15" s="279"/>
      <c r="AF15" s="279"/>
      <c r="AG15" s="279"/>
      <c r="AH15" s="279"/>
      <c r="AI15" s="279"/>
      <c r="AJ15" s="279"/>
      <c r="AK15" s="279"/>
      <c r="AL15" s="279"/>
      <c r="AM15" s="279"/>
      <c r="AN15" s="279"/>
      <c r="AO15" s="279"/>
      <c r="AP15" s="279"/>
      <c r="AQ15" s="279"/>
      <c r="AR15" s="279"/>
      <c r="AS15" s="279"/>
      <c r="AT15" s="499"/>
      <c r="AU15" s="494"/>
      <c r="AV15" s="493"/>
      <c r="AW15" s="493"/>
      <c r="AX15" s="493"/>
      <c r="AY15" s="493"/>
      <c r="AZ15" s="489"/>
      <c r="BA15" s="489"/>
      <c r="BB15" s="489"/>
      <c r="BC15" s="489"/>
      <c r="BD15" s="489"/>
      <c r="BE15" s="493"/>
      <c r="BF15" s="493"/>
      <c r="BG15" s="493"/>
      <c r="BH15" s="493"/>
      <c r="BI15" s="493"/>
      <c r="BJ15" s="489"/>
      <c r="BK15" s="489"/>
      <c r="BL15" s="489"/>
      <c r="BM15" s="489"/>
      <c r="BN15" s="489"/>
      <c r="BO15" s="493"/>
      <c r="BP15" s="493"/>
      <c r="BQ15" s="493"/>
      <c r="BR15" s="493"/>
      <c r="BS15" s="493"/>
      <c r="BT15" s="489"/>
      <c r="BU15" s="489"/>
      <c r="BV15" s="489"/>
      <c r="BW15" s="489"/>
      <c r="BX15" s="489"/>
      <c r="BY15" s="493"/>
      <c r="BZ15" s="493"/>
      <c r="CA15" s="493"/>
      <c r="CB15" s="493"/>
      <c r="CC15" s="493"/>
      <c r="CD15" s="489"/>
      <c r="CE15" s="489"/>
      <c r="CF15" s="489"/>
      <c r="CG15" s="489"/>
      <c r="CH15" s="597"/>
      <c r="CI15" s="612"/>
      <c r="CJ15" s="613"/>
      <c r="CK15" s="613"/>
      <c r="CL15" s="613"/>
      <c r="CM15" s="614"/>
      <c r="CN15" s="615"/>
      <c r="CO15" s="616"/>
      <c r="CP15" s="616"/>
      <c r="CQ15" s="616"/>
      <c r="CR15" s="617"/>
      <c r="CS15" s="494"/>
      <c r="CT15" s="493"/>
      <c r="CU15" s="493"/>
      <c r="CV15" s="493"/>
      <c r="CW15" s="493"/>
      <c r="CX15" s="489"/>
      <c r="CY15" s="489"/>
      <c r="CZ15" s="489"/>
      <c r="DA15" s="489"/>
      <c r="DB15" s="597"/>
    </row>
    <row r="16" spans="1:110" ht="20.100000000000001" hidden="1" customHeight="1">
      <c r="B16" s="286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8"/>
      <c r="N16" s="420"/>
      <c r="O16" s="287"/>
      <c r="P16" s="421"/>
      <c r="Q16" s="332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481"/>
      <c r="AU16" s="496"/>
      <c r="AV16" s="497"/>
      <c r="AW16" s="497"/>
      <c r="AX16" s="497"/>
      <c r="AY16" s="497"/>
      <c r="AZ16" s="486"/>
      <c r="BA16" s="486"/>
      <c r="BB16" s="486"/>
      <c r="BC16" s="486"/>
      <c r="BD16" s="486"/>
      <c r="BE16" s="497"/>
      <c r="BF16" s="497"/>
      <c r="BG16" s="497"/>
      <c r="BH16" s="497"/>
      <c r="BI16" s="497"/>
      <c r="BJ16" s="486"/>
      <c r="BK16" s="486"/>
      <c r="BL16" s="486"/>
      <c r="BM16" s="486"/>
      <c r="BN16" s="486"/>
      <c r="BO16" s="497"/>
      <c r="BP16" s="497"/>
      <c r="BQ16" s="497"/>
      <c r="BR16" s="497"/>
      <c r="BS16" s="497"/>
      <c r="BT16" s="486"/>
      <c r="BU16" s="486"/>
      <c r="BV16" s="486"/>
      <c r="BW16" s="486"/>
      <c r="BX16" s="486"/>
      <c r="BY16" s="497"/>
      <c r="BZ16" s="497"/>
      <c r="CA16" s="497"/>
      <c r="CB16" s="497"/>
      <c r="CC16" s="497"/>
      <c r="CD16" s="486"/>
      <c r="CE16" s="486"/>
      <c r="CF16" s="486"/>
      <c r="CG16" s="486"/>
      <c r="CH16" s="487"/>
      <c r="CI16" s="533"/>
      <c r="CJ16" s="534"/>
      <c r="CK16" s="534"/>
      <c r="CL16" s="534"/>
      <c r="CM16" s="535"/>
      <c r="CN16" s="539"/>
      <c r="CO16" s="540"/>
      <c r="CP16" s="540"/>
      <c r="CQ16" s="540"/>
      <c r="CR16" s="541"/>
      <c r="CS16" s="496"/>
      <c r="CT16" s="497"/>
      <c r="CU16" s="497"/>
      <c r="CV16" s="497"/>
      <c r="CW16" s="497"/>
      <c r="CX16" s="486"/>
      <c r="CY16" s="486"/>
      <c r="CZ16" s="486"/>
      <c r="DA16" s="486"/>
      <c r="DB16" s="487"/>
    </row>
    <row r="17" spans="2:107" ht="20.100000000000001" hidden="1" customHeight="1">
      <c r="B17" s="289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1"/>
      <c r="N17" s="422"/>
      <c r="O17" s="290"/>
      <c r="P17" s="423"/>
      <c r="Q17" s="318"/>
      <c r="R17" s="317"/>
      <c r="S17" s="317"/>
      <c r="T17" s="317"/>
      <c r="U17" s="317"/>
      <c r="V17" s="317"/>
      <c r="W17" s="317"/>
      <c r="X17" s="317"/>
      <c r="Y17" s="317"/>
      <c r="Z17" s="317"/>
      <c r="AA17" s="317"/>
      <c r="AB17" s="317"/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M17" s="317"/>
      <c r="AN17" s="317"/>
      <c r="AO17" s="317"/>
      <c r="AP17" s="317"/>
      <c r="AQ17" s="317"/>
      <c r="AR17" s="317"/>
      <c r="AS17" s="317"/>
      <c r="AT17" s="498"/>
      <c r="AU17" s="501"/>
      <c r="AV17" s="490"/>
      <c r="AW17" s="490"/>
      <c r="AX17" s="490"/>
      <c r="AY17" s="490"/>
      <c r="AZ17" s="500"/>
      <c r="BA17" s="500"/>
      <c r="BB17" s="500"/>
      <c r="BC17" s="500"/>
      <c r="BD17" s="500"/>
      <c r="BE17" s="490"/>
      <c r="BF17" s="490"/>
      <c r="BG17" s="490"/>
      <c r="BH17" s="490"/>
      <c r="BI17" s="490"/>
      <c r="BJ17" s="500"/>
      <c r="BK17" s="500"/>
      <c r="BL17" s="500"/>
      <c r="BM17" s="500"/>
      <c r="BN17" s="500"/>
      <c r="BO17" s="490"/>
      <c r="BP17" s="490"/>
      <c r="BQ17" s="490"/>
      <c r="BR17" s="490"/>
      <c r="BS17" s="490"/>
      <c r="BT17" s="500"/>
      <c r="BU17" s="500"/>
      <c r="BV17" s="500"/>
      <c r="BW17" s="500"/>
      <c r="BX17" s="500"/>
      <c r="BY17" s="490"/>
      <c r="BZ17" s="490"/>
      <c r="CA17" s="490"/>
      <c r="CB17" s="490"/>
      <c r="CC17" s="490"/>
      <c r="CD17" s="500"/>
      <c r="CE17" s="500"/>
      <c r="CF17" s="500"/>
      <c r="CG17" s="500"/>
      <c r="CH17" s="521"/>
      <c r="CI17" s="523"/>
      <c r="CJ17" s="524"/>
      <c r="CK17" s="524"/>
      <c r="CL17" s="524"/>
      <c r="CM17" s="525"/>
      <c r="CN17" s="536"/>
      <c r="CO17" s="537"/>
      <c r="CP17" s="537"/>
      <c r="CQ17" s="537"/>
      <c r="CR17" s="538"/>
      <c r="CS17" s="501"/>
      <c r="CT17" s="490"/>
      <c r="CU17" s="490"/>
      <c r="CV17" s="490"/>
      <c r="CW17" s="490"/>
      <c r="CX17" s="500"/>
      <c r="CY17" s="500"/>
      <c r="CZ17" s="500"/>
      <c r="DA17" s="500"/>
      <c r="DB17" s="521"/>
    </row>
    <row r="18" spans="2:107" ht="20.100000000000001" hidden="1" customHeight="1">
      <c r="B18" s="418"/>
      <c r="C18" s="334"/>
      <c r="D18" s="334"/>
      <c r="E18" s="334"/>
      <c r="F18" s="334"/>
      <c r="G18" s="334"/>
      <c r="H18" s="334"/>
      <c r="I18" s="334"/>
      <c r="J18" s="334"/>
      <c r="K18" s="334"/>
      <c r="L18" s="334"/>
      <c r="M18" s="419"/>
      <c r="N18" s="333"/>
      <c r="O18" s="334"/>
      <c r="P18" s="335"/>
      <c r="Q18" s="245"/>
      <c r="R18" s="243"/>
      <c r="S18" s="243"/>
      <c r="T18" s="243"/>
      <c r="U18" s="243"/>
      <c r="V18" s="243"/>
      <c r="W18" s="243"/>
      <c r="X18" s="243"/>
      <c r="Y18" s="243"/>
      <c r="Z18" s="243"/>
      <c r="AA18" s="243"/>
      <c r="AB18" s="243"/>
      <c r="AC18" s="243"/>
      <c r="AD18" s="243"/>
      <c r="AE18" s="243"/>
      <c r="AF18" s="243"/>
      <c r="AG18" s="243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485"/>
      <c r="AU18" s="495"/>
      <c r="AV18" s="492"/>
      <c r="AW18" s="492"/>
      <c r="AX18" s="492"/>
      <c r="AY18" s="492"/>
      <c r="AZ18" s="491"/>
      <c r="BA18" s="491"/>
      <c r="BB18" s="491"/>
      <c r="BC18" s="491"/>
      <c r="BD18" s="491"/>
      <c r="BE18" s="492"/>
      <c r="BF18" s="492"/>
      <c r="BG18" s="492"/>
      <c r="BH18" s="492"/>
      <c r="BI18" s="492"/>
      <c r="BJ18" s="491"/>
      <c r="BK18" s="491"/>
      <c r="BL18" s="491"/>
      <c r="BM18" s="491"/>
      <c r="BN18" s="491"/>
      <c r="BO18" s="492"/>
      <c r="BP18" s="492"/>
      <c r="BQ18" s="492"/>
      <c r="BR18" s="492"/>
      <c r="BS18" s="492"/>
      <c r="BT18" s="491"/>
      <c r="BU18" s="491"/>
      <c r="BV18" s="491"/>
      <c r="BW18" s="491"/>
      <c r="BX18" s="491"/>
      <c r="BY18" s="492"/>
      <c r="BZ18" s="492"/>
      <c r="CA18" s="492"/>
      <c r="CB18" s="492"/>
      <c r="CC18" s="492"/>
      <c r="CD18" s="491"/>
      <c r="CE18" s="491"/>
      <c r="CF18" s="491"/>
      <c r="CG18" s="491"/>
      <c r="CH18" s="532"/>
      <c r="CI18" s="505"/>
      <c r="CJ18" s="506"/>
      <c r="CK18" s="506"/>
      <c r="CL18" s="506"/>
      <c r="CM18" s="507"/>
      <c r="CN18" s="542"/>
      <c r="CO18" s="543"/>
      <c r="CP18" s="543"/>
      <c r="CQ18" s="543"/>
      <c r="CR18" s="544"/>
      <c r="CS18" s="495"/>
      <c r="CT18" s="492"/>
      <c r="CU18" s="492"/>
      <c r="CV18" s="492"/>
      <c r="CW18" s="492"/>
      <c r="CX18" s="491"/>
      <c r="CY18" s="491"/>
      <c r="CZ18" s="491"/>
      <c r="DA18" s="491"/>
      <c r="DB18" s="532"/>
    </row>
    <row r="19" spans="2:107" ht="20.100000000000001" hidden="1" customHeight="1">
      <c r="B19" s="280"/>
      <c r="C19" s="281"/>
      <c r="D19" s="281"/>
      <c r="E19" s="281"/>
      <c r="F19" s="281"/>
      <c r="G19" s="281"/>
      <c r="H19" s="281"/>
      <c r="I19" s="281"/>
      <c r="J19" s="281"/>
      <c r="K19" s="281"/>
      <c r="L19" s="281"/>
      <c r="M19" s="282"/>
      <c r="N19" s="283"/>
      <c r="O19" s="281"/>
      <c r="P19" s="284"/>
      <c r="Q19" s="285"/>
      <c r="R19" s="226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7"/>
      <c r="AU19" s="218"/>
      <c r="AV19" s="219"/>
      <c r="AW19" s="219"/>
      <c r="AX19" s="219"/>
      <c r="AY19" s="219"/>
      <c r="AZ19" s="238"/>
      <c r="BA19" s="238"/>
      <c r="BB19" s="238"/>
      <c r="BC19" s="238"/>
      <c r="BD19" s="238"/>
      <c r="BE19" s="219"/>
      <c r="BF19" s="219"/>
      <c r="BG19" s="219"/>
      <c r="BH19" s="219"/>
      <c r="BI19" s="219"/>
      <c r="BJ19" s="238"/>
      <c r="BK19" s="238"/>
      <c r="BL19" s="238"/>
      <c r="BM19" s="238"/>
      <c r="BN19" s="238"/>
      <c r="BO19" s="219"/>
      <c r="BP19" s="219"/>
      <c r="BQ19" s="219"/>
      <c r="BR19" s="219"/>
      <c r="BS19" s="219"/>
      <c r="BT19" s="238"/>
      <c r="BU19" s="238"/>
      <c r="BV19" s="238"/>
      <c r="BW19" s="238"/>
      <c r="BX19" s="238"/>
      <c r="BY19" s="219"/>
      <c r="BZ19" s="219"/>
      <c r="CA19" s="219"/>
      <c r="CB19" s="219"/>
      <c r="CC19" s="219"/>
      <c r="CD19" s="238"/>
      <c r="CE19" s="238"/>
      <c r="CF19" s="238"/>
      <c r="CG19" s="238"/>
      <c r="CH19" s="239"/>
      <c r="CI19" s="518"/>
      <c r="CJ19" s="519"/>
      <c r="CK19" s="519"/>
      <c r="CL19" s="519"/>
      <c r="CM19" s="520"/>
      <c r="CN19" s="526"/>
      <c r="CO19" s="527"/>
      <c r="CP19" s="527"/>
      <c r="CQ19" s="527"/>
      <c r="CR19" s="528"/>
      <c r="CS19" s="218"/>
      <c r="CT19" s="219"/>
      <c r="CU19" s="219"/>
      <c r="CV19" s="219"/>
      <c r="CW19" s="219"/>
      <c r="CX19" s="238"/>
      <c r="CY19" s="238"/>
      <c r="CZ19" s="238"/>
      <c r="DA19" s="238"/>
      <c r="DB19" s="239"/>
    </row>
    <row r="20" spans="2:107" ht="20.100000000000001" hidden="1" customHeight="1">
      <c r="B20" s="255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7"/>
      <c r="N20" s="272"/>
      <c r="O20" s="256"/>
      <c r="P20" s="273"/>
      <c r="Q20" s="244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0"/>
      <c r="AI20" s="240"/>
      <c r="AJ20" s="240"/>
      <c r="AK20" s="240"/>
      <c r="AL20" s="240"/>
      <c r="AM20" s="240"/>
      <c r="AN20" s="240"/>
      <c r="AO20" s="240"/>
      <c r="AP20" s="240"/>
      <c r="AQ20" s="240"/>
      <c r="AR20" s="240"/>
      <c r="AS20" s="240"/>
      <c r="AT20" s="254"/>
      <c r="AU20" s="217"/>
      <c r="AV20" s="216"/>
      <c r="AW20" s="216"/>
      <c r="AX20" s="216"/>
      <c r="AY20" s="216"/>
      <c r="AZ20" s="215"/>
      <c r="BA20" s="215"/>
      <c r="BB20" s="215"/>
      <c r="BC20" s="215"/>
      <c r="BD20" s="215"/>
      <c r="BE20" s="216"/>
      <c r="BF20" s="216"/>
      <c r="BG20" s="216"/>
      <c r="BH20" s="216"/>
      <c r="BI20" s="216"/>
      <c r="BJ20" s="215"/>
      <c r="BK20" s="215"/>
      <c r="BL20" s="215"/>
      <c r="BM20" s="215"/>
      <c r="BN20" s="215"/>
      <c r="BO20" s="216"/>
      <c r="BP20" s="216"/>
      <c r="BQ20" s="216"/>
      <c r="BR20" s="216"/>
      <c r="BS20" s="216"/>
      <c r="BT20" s="215"/>
      <c r="BU20" s="215"/>
      <c r="BV20" s="215"/>
      <c r="BW20" s="215"/>
      <c r="BX20" s="215"/>
      <c r="BY20" s="216"/>
      <c r="BZ20" s="216"/>
      <c r="CA20" s="216"/>
      <c r="CB20" s="216"/>
      <c r="CC20" s="216"/>
      <c r="CD20" s="215"/>
      <c r="CE20" s="215"/>
      <c r="CF20" s="215"/>
      <c r="CG20" s="215"/>
      <c r="CH20" s="522"/>
      <c r="CI20" s="594"/>
      <c r="CJ20" s="595"/>
      <c r="CK20" s="595"/>
      <c r="CL20" s="595"/>
      <c r="CM20" s="596"/>
      <c r="CN20" s="529"/>
      <c r="CO20" s="530"/>
      <c r="CP20" s="530"/>
      <c r="CQ20" s="530"/>
      <c r="CR20" s="531"/>
      <c r="CS20" s="217"/>
      <c r="CT20" s="216"/>
      <c r="CU20" s="216"/>
      <c r="CV20" s="216"/>
      <c r="CW20" s="216"/>
      <c r="CX20" s="215"/>
      <c r="CY20" s="215"/>
      <c r="CZ20" s="215"/>
      <c r="DA20" s="215"/>
      <c r="DB20" s="522"/>
    </row>
    <row r="21" spans="2:107" ht="20.100000000000001" hidden="1" customHeight="1">
      <c r="B21" s="424"/>
      <c r="C21" s="268"/>
      <c r="D21" s="268"/>
      <c r="E21" s="268"/>
      <c r="F21" s="268"/>
      <c r="G21" s="268"/>
      <c r="H21" s="268"/>
      <c r="I21" s="268"/>
      <c r="J21" s="268"/>
      <c r="K21" s="268"/>
      <c r="L21" s="268"/>
      <c r="M21" s="425"/>
      <c r="N21" s="267"/>
      <c r="O21" s="268"/>
      <c r="P21" s="269"/>
      <c r="Q21" s="241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2"/>
      <c r="AF21" s="242"/>
      <c r="AG21" s="242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61"/>
      <c r="AU21" s="467"/>
      <c r="AV21" s="468"/>
      <c r="AW21" s="468"/>
      <c r="AX21" s="468"/>
      <c r="AY21" s="468"/>
      <c r="AZ21" s="250"/>
      <c r="BA21" s="250"/>
      <c r="BB21" s="250"/>
      <c r="BC21" s="250"/>
      <c r="BD21" s="250"/>
      <c r="BE21" s="468"/>
      <c r="BF21" s="468"/>
      <c r="BG21" s="468"/>
      <c r="BH21" s="468"/>
      <c r="BI21" s="468"/>
      <c r="BJ21" s="250"/>
      <c r="BK21" s="250"/>
      <c r="BL21" s="250"/>
      <c r="BM21" s="250"/>
      <c r="BN21" s="250"/>
      <c r="BO21" s="468"/>
      <c r="BP21" s="468"/>
      <c r="BQ21" s="468"/>
      <c r="BR21" s="468"/>
      <c r="BS21" s="468"/>
      <c r="BT21" s="250"/>
      <c r="BU21" s="250"/>
      <c r="BV21" s="250"/>
      <c r="BW21" s="250"/>
      <c r="BX21" s="250"/>
      <c r="BY21" s="468"/>
      <c r="BZ21" s="468"/>
      <c r="CA21" s="468"/>
      <c r="CB21" s="468"/>
      <c r="CC21" s="468"/>
      <c r="CD21" s="250"/>
      <c r="CE21" s="250"/>
      <c r="CF21" s="250"/>
      <c r="CG21" s="250"/>
      <c r="CH21" s="474"/>
      <c r="CI21" s="475"/>
      <c r="CJ21" s="476"/>
      <c r="CK21" s="476"/>
      <c r="CL21" s="476"/>
      <c r="CM21" s="477"/>
      <c r="CN21" s="478"/>
      <c r="CO21" s="479"/>
      <c r="CP21" s="479"/>
      <c r="CQ21" s="479"/>
      <c r="CR21" s="480"/>
      <c r="CS21" s="467"/>
      <c r="CT21" s="468"/>
      <c r="CU21" s="468"/>
      <c r="CV21" s="468"/>
      <c r="CW21" s="468"/>
      <c r="CX21" s="250"/>
      <c r="CY21" s="250"/>
      <c r="CZ21" s="250"/>
      <c r="DA21" s="250"/>
      <c r="DB21" s="474"/>
    </row>
    <row r="22" spans="2:107" ht="20.100000000000001" hidden="1" customHeight="1">
      <c r="B22" s="413"/>
      <c r="C22" s="390"/>
      <c r="D22" s="390"/>
      <c r="E22" s="390"/>
      <c r="F22" s="390"/>
      <c r="G22" s="390"/>
      <c r="H22" s="390"/>
      <c r="I22" s="390"/>
      <c r="J22" s="390"/>
      <c r="K22" s="390"/>
      <c r="L22" s="390"/>
      <c r="M22" s="414"/>
      <c r="N22" s="389"/>
      <c r="O22" s="390"/>
      <c r="P22" s="391"/>
      <c r="Q22" s="410"/>
      <c r="R22" s="249"/>
      <c r="S22" s="249"/>
      <c r="T22" s="249"/>
      <c r="U22" s="249"/>
      <c r="V22" s="249"/>
      <c r="W22" s="249"/>
      <c r="X22" s="249"/>
      <c r="Y22" s="249"/>
      <c r="Z22" s="249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  <c r="AR22" s="249"/>
      <c r="AS22" s="249"/>
      <c r="AT22" s="449"/>
      <c r="AU22" s="464"/>
      <c r="AV22" s="459"/>
      <c r="AW22" s="459"/>
      <c r="AX22" s="459"/>
      <c r="AY22" s="459"/>
      <c r="AZ22" s="228"/>
      <c r="BA22" s="228"/>
      <c r="BB22" s="228"/>
      <c r="BC22" s="228"/>
      <c r="BD22" s="228"/>
      <c r="BE22" s="459"/>
      <c r="BF22" s="459"/>
      <c r="BG22" s="459"/>
      <c r="BH22" s="459"/>
      <c r="BI22" s="459"/>
      <c r="BJ22" s="228"/>
      <c r="BK22" s="228"/>
      <c r="BL22" s="228"/>
      <c r="BM22" s="228"/>
      <c r="BN22" s="228"/>
      <c r="BO22" s="459"/>
      <c r="BP22" s="459"/>
      <c r="BQ22" s="459"/>
      <c r="BR22" s="459"/>
      <c r="BS22" s="459"/>
      <c r="BT22" s="228"/>
      <c r="BU22" s="228"/>
      <c r="BV22" s="228"/>
      <c r="BW22" s="228"/>
      <c r="BX22" s="228"/>
      <c r="BY22" s="459"/>
      <c r="BZ22" s="459"/>
      <c r="CA22" s="459"/>
      <c r="CB22" s="459"/>
      <c r="CC22" s="459"/>
      <c r="CD22" s="228"/>
      <c r="CE22" s="228"/>
      <c r="CF22" s="228"/>
      <c r="CG22" s="228"/>
      <c r="CH22" s="473"/>
      <c r="CI22" s="453"/>
      <c r="CJ22" s="454"/>
      <c r="CK22" s="454"/>
      <c r="CL22" s="454"/>
      <c r="CM22" s="455"/>
      <c r="CN22" s="456"/>
      <c r="CO22" s="457"/>
      <c r="CP22" s="457"/>
      <c r="CQ22" s="457"/>
      <c r="CR22" s="458"/>
      <c r="CS22" s="464"/>
      <c r="CT22" s="459"/>
      <c r="CU22" s="459"/>
      <c r="CV22" s="459"/>
      <c r="CW22" s="459"/>
      <c r="CX22" s="228"/>
      <c r="CY22" s="228"/>
      <c r="CZ22" s="228"/>
      <c r="DA22" s="228"/>
      <c r="DB22" s="473"/>
    </row>
    <row r="23" spans="2:107" ht="18.75" hidden="1" thickBot="1">
      <c r="B23" s="393"/>
      <c r="C23" s="394"/>
      <c r="D23" s="394"/>
      <c r="E23" s="394"/>
      <c r="F23" s="394"/>
      <c r="G23" s="394"/>
      <c r="H23" s="394"/>
      <c r="I23" s="394"/>
      <c r="J23" s="394"/>
      <c r="K23" s="394"/>
      <c r="L23" s="394"/>
      <c r="M23" s="395"/>
      <c r="N23" s="416"/>
      <c r="O23" s="394"/>
      <c r="P23" s="417"/>
      <c r="Q23" s="415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34"/>
      <c r="AO23" s="234"/>
      <c r="AP23" s="234"/>
      <c r="AQ23" s="234"/>
      <c r="AR23" s="234"/>
      <c r="AS23" s="234"/>
      <c r="AT23" s="235"/>
      <c r="AU23" s="232"/>
      <c r="AV23" s="233"/>
      <c r="AW23" s="233"/>
      <c r="AX23" s="233"/>
      <c r="AY23" s="233"/>
      <c r="AZ23" s="463"/>
      <c r="BA23" s="463"/>
      <c r="BB23" s="463"/>
      <c r="BC23" s="463"/>
      <c r="BD23" s="463"/>
      <c r="BE23" s="233"/>
      <c r="BF23" s="233"/>
      <c r="BG23" s="233"/>
      <c r="BH23" s="233"/>
      <c r="BI23" s="233"/>
      <c r="BJ23" s="463"/>
      <c r="BK23" s="463"/>
      <c r="BL23" s="463"/>
      <c r="BM23" s="463"/>
      <c r="BN23" s="463"/>
      <c r="BO23" s="233"/>
      <c r="BP23" s="233"/>
      <c r="BQ23" s="233"/>
      <c r="BR23" s="233"/>
      <c r="BS23" s="233"/>
      <c r="BT23" s="463"/>
      <c r="BU23" s="463"/>
      <c r="BV23" s="463"/>
      <c r="BW23" s="463"/>
      <c r="BX23" s="463"/>
      <c r="BY23" s="233"/>
      <c r="BZ23" s="233"/>
      <c r="CA23" s="233"/>
      <c r="CB23" s="233"/>
      <c r="CC23" s="233"/>
      <c r="CD23" s="463"/>
      <c r="CE23" s="463"/>
      <c r="CF23" s="463"/>
      <c r="CG23" s="463"/>
      <c r="CH23" s="466"/>
      <c r="CI23" s="460"/>
      <c r="CJ23" s="461"/>
      <c r="CK23" s="461"/>
      <c r="CL23" s="461"/>
      <c r="CM23" s="462"/>
      <c r="CN23" s="469"/>
      <c r="CO23" s="470"/>
      <c r="CP23" s="470"/>
      <c r="CQ23" s="470"/>
      <c r="CR23" s="471"/>
      <c r="CS23" s="232"/>
      <c r="CT23" s="233"/>
      <c r="CU23" s="233"/>
      <c r="CV23" s="233"/>
      <c r="CW23" s="233"/>
      <c r="CX23" s="463"/>
      <c r="CY23" s="463"/>
      <c r="CZ23" s="463"/>
      <c r="DA23" s="463"/>
      <c r="DB23" s="466"/>
    </row>
    <row r="24" spans="2:107" ht="19.5" hidden="1" thickTop="1" thickBot="1">
      <c r="B24" s="16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9"/>
      <c r="AV24" s="169"/>
      <c r="AW24" s="169"/>
      <c r="AX24" s="169"/>
      <c r="AY24" s="169"/>
      <c r="AZ24" s="170"/>
      <c r="BA24" s="170"/>
      <c r="BB24" s="170"/>
      <c r="BC24" s="170"/>
      <c r="BD24" s="170"/>
      <c r="BE24" s="169"/>
      <c r="BF24" s="169"/>
      <c r="BG24" s="169"/>
      <c r="BH24" s="169"/>
      <c r="BI24" s="169"/>
      <c r="BJ24" s="170"/>
      <c r="BK24" s="170"/>
      <c r="BL24" s="170"/>
      <c r="BM24" s="170"/>
      <c r="BN24" s="170"/>
      <c r="BO24" s="169"/>
      <c r="BP24" s="169"/>
      <c r="BQ24" s="169"/>
      <c r="BR24" s="169"/>
      <c r="BS24" s="169"/>
      <c r="BT24" s="170"/>
      <c r="BU24" s="170"/>
      <c r="BV24" s="170"/>
      <c r="BW24" s="170"/>
      <c r="BX24" s="170"/>
      <c r="BY24" s="169"/>
      <c r="BZ24" s="169"/>
      <c r="CA24" s="169"/>
      <c r="CB24" s="169"/>
      <c r="CC24" s="169"/>
      <c r="CD24" s="170"/>
      <c r="CE24" s="170"/>
      <c r="CF24" s="170"/>
      <c r="CG24" s="170"/>
      <c r="CH24" s="170"/>
      <c r="CI24" s="169"/>
      <c r="CJ24" s="169"/>
      <c r="CK24" s="169"/>
      <c r="CL24" s="169"/>
      <c r="CM24" s="169"/>
      <c r="CN24" s="170"/>
      <c r="CO24" s="170"/>
      <c r="CP24" s="170"/>
      <c r="CQ24" s="170"/>
      <c r="CR24" s="170"/>
      <c r="CS24" s="169"/>
      <c r="CT24" s="169"/>
      <c r="CU24" s="169"/>
      <c r="CV24" s="169"/>
      <c r="CW24" s="169"/>
      <c r="CX24" s="170"/>
      <c r="CY24" s="170"/>
      <c r="CZ24" s="170"/>
      <c r="DA24" s="170"/>
      <c r="DB24" s="170"/>
    </row>
    <row r="25" spans="2:107" ht="19.5" customHeight="1" thickTop="1" thickBot="1">
      <c r="B25" s="411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  <c r="Q25" s="229">
        <f>SUM(Q8:S24)</f>
        <v>481</v>
      </c>
      <c r="R25" s="230"/>
      <c r="S25" s="231"/>
      <c r="T25" s="229">
        <f>SUM(T8:V24)</f>
        <v>98</v>
      </c>
      <c r="U25" s="230"/>
      <c r="V25" s="231"/>
      <c r="W25" s="229">
        <f>SUM(W8:Y24)</f>
        <v>0</v>
      </c>
      <c r="X25" s="230"/>
      <c r="Y25" s="231"/>
      <c r="Z25" s="229">
        <f>SUM(Z8:AB24)</f>
        <v>0</v>
      </c>
      <c r="AA25" s="230"/>
      <c r="AB25" s="231"/>
      <c r="AC25" s="229">
        <f>SUM(AC8:AE24)</f>
        <v>0</v>
      </c>
      <c r="AD25" s="230"/>
      <c r="AE25" s="231"/>
      <c r="AF25" s="229">
        <f>SUM(AF8:AH24)</f>
        <v>0</v>
      </c>
      <c r="AG25" s="230"/>
      <c r="AH25" s="231"/>
      <c r="AI25" s="229">
        <f>SUM(AI8:AK24)</f>
        <v>0</v>
      </c>
      <c r="AJ25" s="230"/>
      <c r="AK25" s="231"/>
      <c r="AL25" s="229">
        <f>SUM(AL8:AN24)</f>
        <v>0</v>
      </c>
      <c r="AM25" s="230"/>
      <c r="AN25" s="231"/>
      <c r="AO25" s="229">
        <f>SUM(AO8:AQ24)</f>
        <v>0</v>
      </c>
      <c r="AP25" s="230"/>
      <c r="AQ25" s="231"/>
      <c r="AR25" s="229">
        <f>SUM(AR8:AT24)</f>
        <v>0</v>
      </c>
      <c r="AS25" s="230"/>
      <c r="AT25" s="231"/>
      <c r="AU25" s="445">
        <f>SUM(AU8:AY24)</f>
        <v>178</v>
      </c>
      <c r="AV25" s="446"/>
      <c r="AW25" s="446"/>
      <c r="AX25" s="446"/>
      <c r="AY25" s="447"/>
      <c r="AZ25" s="445">
        <f t="shared" ref="AZ25" si="0">SUM(AZ8:BD24)</f>
        <v>446.1</v>
      </c>
      <c r="BA25" s="446"/>
      <c r="BB25" s="446"/>
      <c r="BC25" s="446"/>
      <c r="BD25" s="447"/>
      <c r="BE25" s="445">
        <f t="shared" ref="BE25" si="1">SUM(BE8:BI24)</f>
        <v>247</v>
      </c>
      <c r="BF25" s="446"/>
      <c r="BG25" s="446"/>
      <c r="BH25" s="446"/>
      <c r="BI25" s="447"/>
      <c r="BJ25" s="445">
        <f t="shared" ref="BJ25" si="2">SUM(BJ8:BN24)</f>
        <v>770.8</v>
      </c>
      <c r="BK25" s="446"/>
      <c r="BL25" s="446"/>
      <c r="BM25" s="446"/>
      <c r="BN25" s="447"/>
      <c r="BO25" s="445">
        <f t="shared" ref="BO25" si="3">SUM(BO8:BS24)</f>
        <v>179</v>
      </c>
      <c r="BP25" s="446"/>
      <c r="BQ25" s="446"/>
      <c r="BR25" s="446"/>
      <c r="BS25" s="447"/>
      <c r="BT25" s="445">
        <f t="shared" ref="BT25" si="4">SUM(BT8:BX24)</f>
        <v>158.19999999999999</v>
      </c>
      <c r="BU25" s="446"/>
      <c r="BV25" s="446"/>
      <c r="BW25" s="446"/>
      <c r="BX25" s="447"/>
      <c r="BY25" s="445">
        <f t="shared" ref="BY25" si="5">SUM(BY8:CC24)</f>
        <v>45</v>
      </c>
      <c r="BZ25" s="446"/>
      <c r="CA25" s="446"/>
      <c r="CB25" s="446"/>
      <c r="CC25" s="447"/>
      <c r="CD25" s="450">
        <f>SUM(CD8:CH24)</f>
        <v>12.3</v>
      </c>
      <c r="CE25" s="451"/>
      <c r="CF25" s="451"/>
      <c r="CG25" s="451"/>
      <c r="CH25" s="452"/>
      <c r="CI25" s="411"/>
      <c r="CJ25" s="412"/>
      <c r="CK25" s="412"/>
      <c r="CL25" s="412"/>
      <c r="CM25" s="412"/>
      <c r="CN25" s="412"/>
      <c r="CO25" s="412"/>
      <c r="CP25" s="412"/>
      <c r="CQ25" s="412"/>
      <c r="CR25" s="412"/>
      <c r="CS25" s="412"/>
      <c r="CT25" s="412"/>
      <c r="CU25" s="412"/>
      <c r="CV25" s="412"/>
      <c r="CW25" s="412"/>
      <c r="CX25" s="412"/>
      <c r="CY25" s="412"/>
      <c r="CZ25" s="412"/>
      <c r="DA25" s="412"/>
      <c r="DB25" s="465"/>
    </row>
    <row r="26" spans="2:107" ht="19.5" customHeight="1" thickTop="1" thickBot="1"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438">
        <f>SUM(Q25:AT25)</f>
        <v>579</v>
      </c>
      <c r="AQ26" s="439"/>
      <c r="AR26" s="439"/>
      <c r="AS26" s="439"/>
      <c r="AT26" s="440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8"/>
      <c r="CI26" s="438">
        <f>SUM(CI8:CM24)</f>
        <v>649</v>
      </c>
      <c r="CJ26" s="439"/>
      <c r="CK26" s="439"/>
      <c r="CL26" s="439"/>
      <c r="CM26" s="440"/>
      <c r="CN26" s="441">
        <f>SUM(CN8:CR24)</f>
        <v>1387.4</v>
      </c>
      <c r="CO26" s="442"/>
      <c r="CP26" s="442"/>
      <c r="CQ26" s="442"/>
      <c r="CR26" s="443"/>
      <c r="CS26" s="438">
        <f>SUM(CS8:CW24)</f>
        <v>55</v>
      </c>
      <c r="CT26" s="439"/>
      <c r="CU26" s="439"/>
      <c r="CV26" s="439"/>
      <c r="CW26" s="440"/>
      <c r="CX26" s="438">
        <f>SUM(CX7:DB23)</f>
        <v>95.1</v>
      </c>
      <c r="CY26" s="439"/>
      <c r="CZ26" s="439"/>
      <c r="DA26" s="439"/>
      <c r="DB26" s="440"/>
    </row>
    <row r="27" spans="2:107" ht="19.5" customHeight="1" thickTop="1">
      <c r="H27" s="6" t="s">
        <v>12</v>
      </c>
    </row>
    <row r="28" spans="2:107" ht="20.100000000000001" customHeight="1" thickBot="1">
      <c r="B28" s="253" t="s">
        <v>8</v>
      </c>
      <c r="C28" s="253"/>
      <c r="D28" s="253"/>
      <c r="E28" s="253"/>
      <c r="F28" s="253"/>
      <c r="G28" s="253"/>
      <c r="H28" s="253"/>
      <c r="I28" s="253"/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  <c r="AA28" s="253" t="s">
        <v>9</v>
      </c>
      <c r="AB28" s="253"/>
      <c r="AC28" s="253"/>
      <c r="AD28" s="253"/>
      <c r="AE28" s="253"/>
      <c r="AF28" s="253"/>
      <c r="AG28" s="253"/>
      <c r="AH28" s="253"/>
      <c r="AI28" s="253"/>
      <c r="AJ28" s="253"/>
      <c r="AK28" s="253"/>
      <c r="AL28" s="253"/>
      <c r="AM28" s="253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472" t="s">
        <v>10</v>
      </c>
      <c r="BD28" s="472"/>
      <c r="BE28" s="472"/>
      <c r="BF28" s="472"/>
      <c r="BG28" s="472"/>
      <c r="BH28" s="472"/>
      <c r="BI28" s="472"/>
      <c r="BJ28" s="472"/>
      <c r="BK28" s="472"/>
      <c r="BL28" s="472"/>
      <c r="BM28" s="472"/>
      <c r="BN28" s="472"/>
      <c r="BO28" s="472"/>
      <c r="BP28" s="472"/>
      <c r="BQ28" s="472"/>
      <c r="BR28" s="472"/>
      <c r="BS28" s="472"/>
      <c r="BT28" s="472"/>
      <c r="BU28" s="472"/>
      <c r="BV28" s="472"/>
      <c r="BW28" s="472"/>
      <c r="BX28" s="472"/>
      <c r="BY28" s="472" t="s">
        <v>11</v>
      </c>
      <c r="BZ28" s="472"/>
      <c r="CA28" s="472"/>
      <c r="CB28" s="472"/>
      <c r="CC28" s="472"/>
      <c r="CD28" s="472"/>
      <c r="CE28" s="472"/>
      <c r="CF28" s="472"/>
      <c r="CG28" s="472"/>
      <c r="CH28" s="472"/>
      <c r="CI28" s="472"/>
      <c r="CJ28" s="472"/>
      <c r="CK28" s="472"/>
      <c r="CL28" s="472"/>
      <c r="CM28" s="472"/>
      <c r="CN28" s="472"/>
      <c r="CO28" s="472"/>
      <c r="CP28" s="472"/>
      <c r="CQ28" s="472"/>
      <c r="CR28" s="472"/>
      <c r="CS28" s="472"/>
      <c r="CT28" s="472"/>
      <c r="CU28" s="472"/>
      <c r="CV28" s="472"/>
      <c r="CW28" s="472"/>
    </row>
    <row r="29" spans="2:107" ht="20.100000000000001" customHeight="1">
      <c r="B29" s="173"/>
      <c r="C29" s="174"/>
      <c r="D29" s="174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5"/>
      <c r="AA29" s="174"/>
      <c r="AB29" s="174"/>
      <c r="AC29" s="174"/>
      <c r="AD29" s="174"/>
      <c r="AE29" s="174"/>
      <c r="AF29" s="174"/>
      <c r="AG29" s="174"/>
      <c r="AH29" s="174"/>
      <c r="AI29" s="174"/>
      <c r="AJ29" s="174"/>
      <c r="AK29" s="174"/>
      <c r="AL29" s="174"/>
      <c r="AM29" s="174"/>
      <c r="AN29" s="174"/>
      <c r="AO29" s="174"/>
      <c r="AP29" s="214"/>
      <c r="AQ29" s="214"/>
      <c r="AR29" s="214"/>
      <c r="AS29" s="214"/>
      <c r="AT29" s="174"/>
      <c r="AU29" s="174"/>
      <c r="AV29" s="174"/>
      <c r="AW29" s="174"/>
      <c r="AX29" s="174"/>
      <c r="AY29" s="174"/>
      <c r="AZ29" s="174"/>
      <c r="BA29" s="174"/>
      <c r="BB29" s="175"/>
      <c r="BC29" s="174"/>
      <c r="BD29" s="174"/>
      <c r="BE29" s="174"/>
      <c r="BF29" s="174"/>
      <c r="BG29" s="174"/>
      <c r="BH29" s="174"/>
      <c r="BI29" s="174"/>
      <c r="BJ29" s="174"/>
      <c r="BK29" s="174"/>
      <c r="BL29" s="174"/>
      <c r="BM29" s="174"/>
      <c r="BN29" s="174"/>
      <c r="BO29" s="174"/>
      <c r="BP29" s="174"/>
      <c r="BQ29" s="174"/>
      <c r="BR29" s="174"/>
      <c r="BS29" s="175"/>
      <c r="BT29" s="34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25" t="s">
        <v>1</v>
      </c>
      <c r="CZ29" s="25"/>
      <c r="DA29" s="25"/>
      <c r="DB29" s="25"/>
    </row>
    <row r="30" spans="2:107" ht="20.100000000000001" customHeight="1" thickBot="1">
      <c r="B30" s="176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214"/>
      <c r="N30" s="214"/>
      <c r="O30" s="214"/>
      <c r="P30" s="177"/>
      <c r="Q30" s="214"/>
      <c r="R30" s="214"/>
      <c r="S30" s="214"/>
      <c r="T30" s="214"/>
      <c r="U30" s="214"/>
      <c r="V30" s="214"/>
      <c r="W30" s="214"/>
      <c r="X30" s="214"/>
      <c r="Y30" s="214"/>
      <c r="Z30" s="178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178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178"/>
      <c r="BT30" s="34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58"/>
      <c r="CQ30" s="35"/>
      <c r="CR30" s="35"/>
      <c r="CS30" s="35"/>
      <c r="CT30" s="35"/>
      <c r="CU30" s="35"/>
      <c r="CV30" s="35"/>
      <c r="CW30" s="35"/>
      <c r="CY30" s="26" t="s">
        <v>4</v>
      </c>
      <c r="CZ30" s="26"/>
      <c r="DA30" s="26"/>
      <c r="DB30" s="26"/>
    </row>
    <row r="31" spans="2:107" ht="20.100000000000001" customHeight="1" thickTop="1" thickBot="1">
      <c r="B31" s="176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178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177"/>
      <c r="BB31" s="178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177"/>
      <c r="BR31" s="214"/>
      <c r="BS31" s="178"/>
      <c r="BT31" s="34"/>
      <c r="BU31" s="35"/>
      <c r="BV31" s="35"/>
      <c r="BW31" s="58"/>
      <c r="BX31" s="58"/>
      <c r="BY31" s="309">
        <v>124</v>
      </c>
      <c r="BZ31" s="309"/>
      <c r="CA31" s="309"/>
      <c r="CB31" s="309"/>
      <c r="CC31" s="35"/>
      <c r="CD31" s="35"/>
      <c r="CE31" s="35"/>
      <c r="CF31" s="35"/>
      <c r="CG31" s="35"/>
      <c r="CH31" s="221">
        <v>25</v>
      </c>
      <c r="CI31" s="221"/>
      <c r="CJ31" s="221"/>
      <c r="CK31" s="221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310">
        <f>DC31</f>
        <v>315</v>
      </c>
      <c r="CZ31" s="311"/>
      <c r="DA31" s="311"/>
      <c r="DB31" s="312"/>
      <c r="DC31" s="28">
        <f t="array" ref="DC31:DC32">TRANSPOSE(TotalUnitsAndWeightsSum(DECK12))</f>
        <v>315</v>
      </c>
    </row>
    <row r="32" spans="2:107" ht="20.100000000000001" customHeight="1" thickTop="1" thickBot="1">
      <c r="B32" s="176"/>
      <c r="C32" s="214"/>
      <c r="D32" s="214"/>
      <c r="E32" s="214"/>
      <c r="F32" s="214"/>
      <c r="G32" s="214"/>
      <c r="H32" s="214"/>
      <c r="I32" s="214"/>
      <c r="J32" s="179" t="s">
        <v>103</v>
      </c>
      <c r="K32" s="172"/>
      <c r="L32" s="214"/>
      <c r="M32" s="214"/>
      <c r="N32" s="214"/>
      <c r="O32" s="214"/>
      <c r="P32" s="214"/>
      <c r="Q32" s="214"/>
      <c r="R32" s="214" t="s">
        <v>12</v>
      </c>
      <c r="S32" s="214"/>
      <c r="T32" s="214"/>
      <c r="U32" s="214"/>
      <c r="V32" s="214"/>
      <c r="W32" s="214"/>
      <c r="X32" s="214"/>
      <c r="Y32" s="214"/>
      <c r="Z32" s="178"/>
      <c r="AA32" s="214"/>
      <c r="AB32" s="214"/>
      <c r="AC32" s="179" t="s">
        <v>103</v>
      </c>
      <c r="AD32" s="172"/>
      <c r="AE32" s="214"/>
      <c r="AF32" s="214"/>
      <c r="AG32" s="214"/>
      <c r="AH32" s="214"/>
      <c r="AI32" s="214"/>
      <c r="AJ32" s="214"/>
      <c r="AK32" s="214"/>
      <c r="AL32" s="180"/>
      <c r="AM32" s="181"/>
      <c r="AN32" s="181"/>
      <c r="AO32" s="181"/>
      <c r="AP32" s="181"/>
      <c r="AQ32" s="181"/>
      <c r="AR32" s="181"/>
      <c r="AS32" s="181"/>
      <c r="AT32" s="181"/>
      <c r="AU32" s="181"/>
      <c r="AV32" s="182"/>
      <c r="AW32" s="214"/>
      <c r="AX32" s="214"/>
      <c r="AY32" s="177"/>
      <c r="AZ32" s="177"/>
      <c r="BA32" s="177"/>
      <c r="BB32" s="178"/>
      <c r="BC32" s="214"/>
      <c r="BD32" s="214"/>
      <c r="BE32" s="214"/>
      <c r="BF32" s="214"/>
      <c r="BG32" s="179" t="s">
        <v>103</v>
      </c>
      <c r="BH32" s="172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178"/>
      <c r="BT32" s="34"/>
      <c r="BU32" s="35"/>
      <c r="BV32" s="35"/>
      <c r="BW32" s="58"/>
      <c r="BX32" s="58"/>
      <c r="BY32" s="309">
        <v>245.09</v>
      </c>
      <c r="BZ32" s="309"/>
      <c r="CA32" s="309"/>
      <c r="CB32" s="309"/>
      <c r="CC32" s="35"/>
      <c r="CD32" s="35"/>
      <c r="CE32" s="35"/>
      <c r="CF32" s="35"/>
      <c r="CG32" s="35"/>
      <c r="CH32" s="221">
        <v>12.3</v>
      </c>
      <c r="CI32" s="221"/>
      <c r="CJ32" s="221"/>
      <c r="CK32" s="221"/>
      <c r="CL32" s="35"/>
      <c r="CM32" s="35"/>
      <c r="CN32" s="35"/>
      <c r="CO32" s="35"/>
      <c r="CP32" s="35"/>
      <c r="CQ32" s="35"/>
      <c r="CR32" s="58"/>
      <c r="CS32" s="35"/>
      <c r="CT32" s="35"/>
      <c r="CU32" s="35"/>
      <c r="CV32" s="35"/>
      <c r="CW32" s="35"/>
      <c r="CY32" s="294">
        <f>DC32</f>
        <v>466.70000000000005</v>
      </c>
      <c r="CZ32" s="295"/>
      <c r="DA32" s="295"/>
      <c r="DB32" s="296"/>
      <c r="DC32" s="28">
        <v>466.70000000000005</v>
      </c>
    </row>
    <row r="33" spans="2:107" ht="20.100000000000001" customHeight="1" thickTop="1">
      <c r="B33" s="176"/>
      <c r="C33" s="214"/>
      <c r="D33" s="214"/>
      <c r="E33" s="214"/>
      <c r="F33" s="214"/>
      <c r="G33" s="214"/>
      <c r="H33" s="214"/>
      <c r="I33" s="214"/>
      <c r="J33" s="262">
        <v>119</v>
      </c>
      <c r="K33" s="259"/>
      <c r="L33" s="259"/>
      <c r="M33" s="259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178"/>
      <c r="AA33" s="214"/>
      <c r="AB33" s="214"/>
      <c r="AC33" s="262">
        <v>121</v>
      </c>
      <c r="AD33" s="259"/>
      <c r="AE33" s="259"/>
      <c r="AF33" s="259"/>
      <c r="AG33" s="214"/>
      <c r="AH33" s="214"/>
      <c r="AI33" s="214"/>
      <c r="AJ33" s="214"/>
      <c r="AK33" s="214"/>
      <c r="AL33" s="183"/>
      <c r="AM33" s="184"/>
      <c r="AN33" s="184"/>
      <c r="AO33" s="184"/>
      <c r="AP33" s="184"/>
      <c r="AQ33" s="184"/>
      <c r="AR33" s="184"/>
      <c r="AS33" s="184"/>
      <c r="AT33" s="184"/>
      <c r="AU33" s="184"/>
      <c r="AV33" s="185"/>
      <c r="AW33" s="214"/>
      <c r="AX33" s="214"/>
      <c r="AY33" s="214"/>
      <c r="AZ33" s="214"/>
      <c r="BA33" s="214"/>
      <c r="BB33" s="178"/>
      <c r="BC33" s="214"/>
      <c r="BD33" s="214"/>
      <c r="BE33" s="214"/>
      <c r="BF33" s="214"/>
      <c r="BG33" s="262">
        <v>75</v>
      </c>
      <c r="BH33" s="259"/>
      <c r="BI33" s="259"/>
      <c r="BJ33" s="259"/>
      <c r="BK33" s="214"/>
      <c r="BL33" s="214"/>
      <c r="BM33" s="214"/>
      <c r="BN33" s="214"/>
      <c r="BO33" s="214"/>
      <c r="BP33" s="214"/>
      <c r="BQ33" s="214"/>
      <c r="BR33" s="214"/>
      <c r="BS33" s="178"/>
      <c r="BT33" s="34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Y33" s="27" t="s">
        <v>21</v>
      </c>
      <c r="CZ33" s="27"/>
      <c r="DA33" s="27"/>
      <c r="DB33" s="27"/>
    </row>
    <row r="34" spans="2:107" ht="20.100000000000001" customHeight="1">
      <c r="B34" s="176"/>
      <c r="C34" s="214"/>
      <c r="D34" s="214"/>
      <c r="E34" s="214"/>
      <c r="F34" s="214"/>
      <c r="G34" s="214"/>
      <c r="H34" s="214"/>
      <c r="I34" s="214"/>
      <c r="J34" s="258">
        <v>175.5</v>
      </c>
      <c r="K34" s="259"/>
      <c r="L34" s="259"/>
      <c r="M34" s="259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178"/>
      <c r="AA34" s="214"/>
      <c r="AB34" s="214"/>
      <c r="AC34" s="258">
        <v>195.6</v>
      </c>
      <c r="AD34" s="259"/>
      <c r="AE34" s="259"/>
      <c r="AF34" s="259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178"/>
      <c r="BC34" s="214"/>
      <c r="BD34" s="214"/>
      <c r="BE34" s="214"/>
      <c r="BF34" s="214"/>
      <c r="BG34" s="258">
        <v>95.6</v>
      </c>
      <c r="BH34" s="259"/>
      <c r="BI34" s="259"/>
      <c r="BJ34" s="259"/>
      <c r="BK34" s="214"/>
      <c r="BL34" s="214"/>
      <c r="BM34" s="214"/>
      <c r="BN34" s="214"/>
      <c r="BO34" s="214"/>
      <c r="BP34" s="214"/>
      <c r="BQ34" s="214"/>
      <c r="BR34" s="214"/>
      <c r="BS34" s="178"/>
      <c r="BT34" s="34"/>
      <c r="BU34" s="35"/>
      <c r="BV34" s="35"/>
      <c r="BW34" s="35"/>
      <c r="BX34" s="35"/>
      <c r="BY34" s="224">
        <v>45</v>
      </c>
      <c r="BZ34" s="224"/>
      <c r="CA34" s="224"/>
      <c r="CB34" s="224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Y34" s="24" t="s">
        <v>22</v>
      </c>
      <c r="CZ34" s="24"/>
      <c r="DA34" s="24"/>
      <c r="DB34" s="24"/>
    </row>
    <row r="35" spans="2:107" ht="20.100000000000001" customHeight="1">
      <c r="B35" s="176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178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178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  <c r="BR35" s="214"/>
      <c r="BS35" s="178"/>
      <c r="BT35" s="34"/>
      <c r="BU35" s="35"/>
      <c r="BV35" s="35"/>
      <c r="BW35" s="35"/>
      <c r="BX35" s="35"/>
      <c r="BY35" s="224">
        <v>135.30000000000001</v>
      </c>
      <c r="BZ35" s="224"/>
      <c r="CA35" s="224"/>
      <c r="CB35" s="224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176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178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178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  <c r="BR36" s="214"/>
      <c r="BS36" s="178"/>
      <c r="BT36" s="34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</row>
    <row r="37" spans="2:107" ht="20.100000000000001" customHeight="1" thickBot="1">
      <c r="B37" s="176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178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178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  <c r="BR37" s="214"/>
      <c r="BS37" s="178"/>
      <c r="BT37" s="34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</row>
    <row r="38" spans="2:107" ht="20.100000000000001" customHeight="1">
      <c r="B38" s="204"/>
      <c r="C38" s="205"/>
      <c r="D38" s="205"/>
      <c r="E38" s="205"/>
      <c r="F38" s="205"/>
      <c r="G38" s="205"/>
      <c r="H38" s="205"/>
      <c r="I38" s="205"/>
      <c r="J38" s="260"/>
      <c r="K38" s="247"/>
      <c r="L38" s="247"/>
      <c r="M38" s="247"/>
      <c r="N38" s="248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4"/>
      <c r="AA38" s="73"/>
      <c r="AB38" s="211"/>
      <c r="AC38" s="211"/>
      <c r="AD38" s="211"/>
      <c r="AE38" s="211"/>
      <c r="AF38" s="211"/>
      <c r="AG38" s="211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82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4"/>
      <c r="CY38" s="10" t="s">
        <v>2</v>
      </c>
    </row>
    <row r="39" spans="2:107" ht="20.100000000000001" customHeight="1" thickBot="1">
      <c r="B39" s="206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/>
      <c r="X39" s="212"/>
      <c r="Y39" s="212"/>
      <c r="Z39" s="207"/>
      <c r="AA39" s="58"/>
      <c r="AB39" s="213"/>
      <c r="AC39" s="220">
        <v>2</v>
      </c>
      <c r="AD39" s="221"/>
      <c r="AE39" s="221"/>
      <c r="AF39" s="213"/>
      <c r="AG39" s="213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75"/>
      <c r="BC39" s="58"/>
      <c r="BD39" s="213"/>
      <c r="BE39" s="213"/>
      <c r="BF39" s="213"/>
      <c r="BG39" s="213"/>
      <c r="BH39" s="213"/>
      <c r="BI39" s="213"/>
      <c r="BJ39" s="213"/>
      <c r="BK39" s="213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75"/>
      <c r="CY39" s="11" t="s">
        <v>4</v>
      </c>
    </row>
    <row r="40" spans="2:107" ht="20.100000000000001" customHeight="1" thickTop="1" thickBot="1">
      <c r="B40" s="206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392">
        <v>25</v>
      </c>
      <c r="Q40" s="252"/>
      <c r="R40" s="252"/>
      <c r="S40" s="252"/>
      <c r="T40" s="212"/>
      <c r="U40" s="212"/>
      <c r="V40" s="212"/>
      <c r="W40" s="212"/>
      <c r="X40" s="212"/>
      <c r="Y40" s="212"/>
      <c r="Z40" s="207"/>
      <c r="AA40" s="58"/>
      <c r="AB40" s="213"/>
      <c r="AC40" s="222">
        <v>152.30000000000001</v>
      </c>
      <c r="AD40" s="221"/>
      <c r="AE40" s="221"/>
      <c r="AF40" s="213"/>
      <c r="AG40" s="213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75"/>
      <c r="BC40" s="58"/>
      <c r="BD40" s="213"/>
      <c r="BE40" s="213"/>
      <c r="BF40" s="236">
        <v>89</v>
      </c>
      <c r="BG40" s="237"/>
      <c r="BH40" s="237"/>
      <c r="BI40" s="237"/>
      <c r="BJ40" s="213"/>
      <c r="BK40" s="209"/>
      <c r="BL40" s="58"/>
      <c r="BM40" s="58"/>
      <c r="BN40" s="37"/>
      <c r="BO40" s="37"/>
      <c r="BP40" s="37"/>
      <c r="BQ40" s="37"/>
      <c r="BR40" s="58"/>
      <c r="BS40" s="58"/>
      <c r="BT40" s="58"/>
      <c r="BU40" s="58"/>
      <c r="BV40" s="58"/>
      <c r="BW40" s="58"/>
      <c r="BX40" s="58"/>
      <c r="BY40" s="83"/>
      <c r="BZ40" s="58"/>
      <c r="CA40" s="225">
        <v>45</v>
      </c>
      <c r="CB40" s="224"/>
      <c r="CC40" s="224"/>
      <c r="CD40" s="224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75"/>
      <c r="CY40" s="310">
        <f>DC40</f>
        <v>244</v>
      </c>
      <c r="CZ40" s="311"/>
      <c r="DA40" s="311"/>
      <c r="DB40" s="312"/>
      <c r="DC40" s="28">
        <f t="array" ref="DC40:DC41">TRANSPOSE(TotalUnitsAndWeightsSum(DECK11))</f>
        <v>244</v>
      </c>
    </row>
    <row r="41" spans="2:107" ht="20.100000000000001" customHeight="1" thickTop="1" thickBot="1">
      <c r="B41" s="206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208"/>
      <c r="N41" s="208"/>
      <c r="O41" s="208"/>
      <c r="P41" s="251">
        <v>135.30000000000001</v>
      </c>
      <c r="Q41" s="252"/>
      <c r="R41" s="252"/>
      <c r="S41" s="252"/>
      <c r="T41" s="212"/>
      <c r="U41" s="212"/>
      <c r="V41" s="212"/>
      <c r="W41" s="212"/>
      <c r="X41" s="212"/>
      <c r="Y41" s="212"/>
      <c r="Z41" s="207"/>
      <c r="AA41" s="58"/>
      <c r="AB41" s="213"/>
      <c r="AC41" s="213"/>
      <c r="AD41" s="213"/>
      <c r="AE41" s="213"/>
      <c r="AF41" s="213"/>
      <c r="AG41" s="213"/>
      <c r="AH41" s="58"/>
      <c r="AI41" s="58"/>
      <c r="AJ41" s="58"/>
      <c r="AK41" s="58"/>
      <c r="AL41" s="76"/>
      <c r="AM41" s="77"/>
      <c r="AN41" s="77"/>
      <c r="AO41" s="77"/>
      <c r="AP41" s="77"/>
      <c r="AQ41" s="77"/>
      <c r="AR41" s="77"/>
      <c r="AS41" s="77"/>
      <c r="AT41" s="77"/>
      <c r="AU41" s="77"/>
      <c r="AV41" s="78"/>
      <c r="AW41" s="58"/>
      <c r="AX41" s="58"/>
      <c r="AY41" s="58"/>
      <c r="AZ41" s="58"/>
      <c r="BA41" s="58"/>
      <c r="BB41" s="75"/>
      <c r="BC41" s="58"/>
      <c r="BD41" s="213"/>
      <c r="BE41" s="213"/>
      <c r="BF41" s="444">
        <v>12.3</v>
      </c>
      <c r="BG41" s="237"/>
      <c r="BH41" s="237"/>
      <c r="BI41" s="237"/>
      <c r="BJ41" s="213"/>
      <c r="BK41" s="213"/>
      <c r="BL41" s="58"/>
      <c r="BM41" s="58"/>
      <c r="BN41" s="37"/>
      <c r="BO41" s="37"/>
      <c r="BP41" s="225">
        <v>15</v>
      </c>
      <c r="BQ41" s="224"/>
      <c r="BR41" s="224"/>
      <c r="BS41" s="224"/>
      <c r="BT41" s="58"/>
      <c r="BU41" s="58"/>
      <c r="BV41" s="58"/>
      <c r="BW41" s="58"/>
      <c r="BX41" s="58"/>
      <c r="BY41" s="83"/>
      <c r="BZ41" s="58"/>
      <c r="CA41" s="223">
        <v>12.3</v>
      </c>
      <c r="CB41" s="224"/>
      <c r="CC41" s="224"/>
      <c r="CD41" s="224"/>
      <c r="CE41" s="58"/>
      <c r="CF41" s="58"/>
      <c r="CG41" s="58"/>
      <c r="CH41" s="76"/>
      <c r="CI41" s="77"/>
      <c r="CJ41" s="77"/>
      <c r="CK41" s="77"/>
      <c r="CL41" s="77"/>
      <c r="CM41" s="77"/>
      <c r="CN41" s="77"/>
      <c r="CO41" s="77"/>
      <c r="CP41" s="77"/>
      <c r="CQ41" s="78"/>
      <c r="CR41" s="58"/>
      <c r="CS41" s="58"/>
      <c r="CT41" s="58"/>
      <c r="CU41" s="58"/>
      <c r="CV41" s="58"/>
      <c r="CW41" s="75"/>
      <c r="CY41" s="294">
        <f>DC41</f>
        <v>650.10000000000014</v>
      </c>
      <c r="CZ41" s="295"/>
      <c r="DA41" s="295"/>
      <c r="DB41" s="296"/>
      <c r="DC41" s="28">
        <v>650.10000000000014</v>
      </c>
    </row>
    <row r="42" spans="2:107" ht="20.100000000000001" customHeight="1" thickTop="1">
      <c r="B42" s="206"/>
      <c r="C42" s="212"/>
      <c r="D42" s="212"/>
      <c r="E42" s="212"/>
      <c r="F42" s="212"/>
      <c r="G42" s="212"/>
      <c r="H42" s="392">
        <v>34</v>
      </c>
      <c r="I42" s="252"/>
      <c r="J42" s="252"/>
      <c r="K42" s="252"/>
      <c r="L42" s="212"/>
      <c r="M42" s="212"/>
      <c r="N42" s="208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07"/>
      <c r="AA42" s="58"/>
      <c r="AB42" s="213"/>
      <c r="AC42" s="213"/>
      <c r="AD42" s="213"/>
      <c r="AE42" s="213"/>
      <c r="AF42" s="213"/>
      <c r="AG42" s="213"/>
      <c r="AH42" s="58"/>
      <c r="AI42" s="58"/>
      <c r="AJ42" s="58"/>
      <c r="AK42" s="58"/>
      <c r="AL42" s="79"/>
      <c r="AM42" s="80"/>
      <c r="AN42" s="80"/>
      <c r="AO42" s="80"/>
      <c r="AP42" s="80"/>
      <c r="AQ42" s="80"/>
      <c r="AR42" s="80"/>
      <c r="AS42" s="80"/>
      <c r="AT42" s="80"/>
      <c r="AU42" s="80"/>
      <c r="AV42" s="81"/>
      <c r="AW42" s="58"/>
      <c r="AX42" s="58"/>
      <c r="AY42" s="58"/>
      <c r="AZ42" s="58"/>
      <c r="BA42" s="58"/>
      <c r="BB42" s="75"/>
      <c r="BC42" s="58"/>
      <c r="BD42" s="213"/>
      <c r="BE42" s="213"/>
      <c r="BF42" s="213"/>
      <c r="BG42" s="213"/>
      <c r="BH42" s="213"/>
      <c r="BI42" s="213"/>
      <c r="BJ42" s="213"/>
      <c r="BK42" s="213"/>
      <c r="BL42" s="58"/>
      <c r="BM42" s="58"/>
      <c r="BN42" s="58"/>
      <c r="BO42" s="58"/>
      <c r="BP42" s="223">
        <v>50.3</v>
      </c>
      <c r="BQ42" s="224"/>
      <c r="BR42" s="224"/>
      <c r="BS42" s="224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79"/>
      <c r="CI42" s="80"/>
      <c r="CJ42" s="80"/>
      <c r="CK42" s="80"/>
      <c r="CL42" s="80"/>
      <c r="CM42" s="80"/>
      <c r="CN42" s="80"/>
      <c r="CO42" s="80"/>
      <c r="CP42" s="80"/>
      <c r="CQ42" s="81"/>
      <c r="CR42" s="58"/>
      <c r="CS42" s="58"/>
      <c r="CT42" s="58"/>
      <c r="CU42" s="58"/>
      <c r="CV42" s="58"/>
      <c r="CW42" s="75"/>
      <c r="CY42" s="27" t="s">
        <v>21</v>
      </c>
      <c r="CZ42" s="27"/>
      <c r="DA42" s="27"/>
      <c r="DB42" s="27"/>
    </row>
    <row r="43" spans="2:107" ht="20.100000000000001" customHeight="1">
      <c r="B43" s="206"/>
      <c r="C43" s="212"/>
      <c r="D43" s="212"/>
      <c r="E43" s="212"/>
      <c r="F43" s="212"/>
      <c r="G43" s="212"/>
      <c r="H43" s="251">
        <v>135.30000000000001</v>
      </c>
      <c r="I43" s="252"/>
      <c r="J43" s="252"/>
      <c r="K43" s="25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07"/>
      <c r="AA43" s="58"/>
      <c r="AB43" s="213"/>
      <c r="AC43" s="213"/>
      <c r="AD43" s="213"/>
      <c r="AE43" s="220">
        <v>34</v>
      </c>
      <c r="AF43" s="221"/>
      <c r="AG43" s="221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213"/>
      <c r="BE43" s="213"/>
      <c r="BF43" s="213"/>
      <c r="BG43" s="213"/>
      <c r="BH43" s="213"/>
      <c r="BI43" s="213"/>
      <c r="BJ43" s="213"/>
      <c r="BK43" s="213"/>
      <c r="BL43" s="58"/>
      <c r="BM43" s="58"/>
      <c r="BN43" s="58"/>
      <c r="BO43" s="58"/>
      <c r="BP43" s="58"/>
      <c r="BQ43" s="58"/>
      <c r="BR43" s="72"/>
      <c r="BS43" s="58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  <c r="CY43" s="24" t="s">
        <v>22</v>
      </c>
      <c r="CZ43" s="24"/>
      <c r="DA43" s="24"/>
      <c r="DB43" s="24"/>
    </row>
    <row r="44" spans="2:107" ht="20.100000000000001" customHeight="1">
      <c r="B44" s="206"/>
      <c r="C44" s="212"/>
      <c r="D44" s="212"/>
      <c r="E44" s="212"/>
      <c r="F44" s="212"/>
      <c r="G44" s="212"/>
      <c r="H44" s="212"/>
      <c r="I44" s="212"/>
      <c r="J44" s="212"/>
      <c r="K44" s="212"/>
      <c r="L44" s="212"/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08"/>
      <c r="Y44" s="212"/>
      <c r="Z44" s="207"/>
      <c r="AA44" s="58"/>
      <c r="AB44" s="213"/>
      <c r="AC44" s="213"/>
      <c r="AD44" s="213"/>
      <c r="AE44" s="222">
        <v>152.30000000000001</v>
      </c>
      <c r="AF44" s="221"/>
      <c r="AG44" s="221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206"/>
      <c r="C45" s="212"/>
      <c r="D45" s="212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08"/>
      <c r="V45" s="208"/>
      <c r="W45" s="208"/>
      <c r="X45" s="208"/>
      <c r="Y45" s="212"/>
      <c r="Z45" s="207"/>
      <c r="AA45" s="58"/>
      <c r="AB45" s="213"/>
      <c r="AC45" s="213"/>
      <c r="AD45" s="213"/>
      <c r="AE45" s="213"/>
      <c r="AF45" s="213"/>
      <c r="AG45" s="209"/>
      <c r="AH45" s="71"/>
      <c r="AI45" s="71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75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83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75"/>
    </row>
    <row r="46" spans="2:107" ht="20.100000000000001" customHeight="1" thickBot="1">
      <c r="B46" s="206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07"/>
      <c r="AA46" s="58"/>
      <c r="AB46" s="213"/>
      <c r="AC46" s="213"/>
      <c r="AD46" s="213"/>
      <c r="AE46" s="213"/>
      <c r="AF46" s="213"/>
      <c r="AG46" s="213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83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75"/>
    </row>
    <row r="47" spans="2:107" ht="20.100000000000001" customHeight="1">
      <c r="B47" s="82"/>
      <c r="C47" s="73"/>
      <c r="D47" s="73"/>
      <c r="E47" s="73"/>
      <c r="F47" s="73"/>
      <c r="G47" s="73"/>
      <c r="H47" s="73"/>
      <c r="I47" s="73"/>
      <c r="J47" s="407"/>
      <c r="K47" s="408"/>
      <c r="L47" s="408"/>
      <c r="M47" s="408"/>
      <c r="N47" s="409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4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4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31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3"/>
      <c r="CY47" s="10" t="s">
        <v>3</v>
      </c>
    </row>
    <row r="48" spans="2:107" ht="20.100000000000001" customHeight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58"/>
      <c r="CE48" s="58"/>
      <c r="CF48" s="58"/>
      <c r="CG48" s="58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6"/>
      <c r="CY48" s="14" t="s">
        <v>23</v>
      </c>
    </row>
    <row r="49" spans="2:107" ht="20.100000000000001" customHeight="1" thickTop="1" thickBot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72"/>
      <c r="BR49" s="58"/>
      <c r="BS49" s="58"/>
      <c r="BT49" s="58"/>
      <c r="BU49" s="58"/>
      <c r="BV49" s="58"/>
      <c r="BW49" s="58"/>
      <c r="BX49" s="58"/>
      <c r="BY49" s="34"/>
      <c r="BZ49" s="35"/>
      <c r="CA49" s="35"/>
      <c r="CB49" s="35"/>
      <c r="CC49" s="35"/>
      <c r="CD49" s="58"/>
      <c r="CE49" s="58"/>
      <c r="CF49" s="58"/>
      <c r="CG49" s="58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6"/>
      <c r="CY49" s="310">
        <f>DC49</f>
        <v>0</v>
      </c>
      <c r="CZ49" s="311"/>
      <c r="DA49" s="311"/>
      <c r="DB49" s="312"/>
      <c r="DC49" s="28">
        <f t="array" ref="DC49:DC50">TRANSPOSE(TotalUnitsAndWeightsSum(DECK10))</f>
        <v>0</v>
      </c>
    </row>
    <row r="50" spans="2:107" ht="20.100000000000001" customHeight="1" thickTop="1" thickBo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76"/>
      <c r="AM50" s="77"/>
      <c r="AN50" s="77"/>
      <c r="AO50" s="77"/>
      <c r="AP50" s="77"/>
      <c r="AQ50" s="77"/>
      <c r="AR50" s="77"/>
      <c r="AS50" s="77"/>
      <c r="AT50" s="77"/>
      <c r="AU50" s="77"/>
      <c r="AV50" s="7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71"/>
      <c r="BM50" s="71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35"/>
      <c r="CB50" s="35"/>
      <c r="CC50" s="35"/>
      <c r="CD50" s="37"/>
      <c r="CE50" s="37"/>
      <c r="CF50" s="37"/>
      <c r="CG50" s="299"/>
      <c r="CH50" s="300"/>
      <c r="CI50" s="300"/>
      <c r="CJ50" s="300"/>
      <c r="CK50" s="300"/>
      <c r="CL50" s="300"/>
      <c r="CM50" s="300"/>
      <c r="CN50" s="300"/>
      <c r="CO50" s="300"/>
      <c r="CP50" s="300"/>
      <c r="CQ50" s="300"/>
      <c r="CR50" s="301"/>
      <c r="CS50" s="35"/>
      <c r="CT50" s="35"/>
      <c r="CU50" s="35"/>
      <c r="CV50" s="35"/>
      <c r="CW50" s="36"/>
      <c r="CY50" s="294">
        <f>DC50</f>
        <v>0</v>
      </c>
      <c r="CZ50" s="295"/>
      <c r="DA50" s="295"/>
      <c r="DB50" s="296"/>
      <c r="DC50" s="28">
        <v>0</v>
      </c>
    </row>
    <row r="51" spans="2:107" ht="20.100000000000001" customHeight="1" thickTop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79"/>
      <c r="AM51" s="80"/>
      <c r="AN51" s="80"/>
      <c r="AO51" s="80"/>
      <c r="AP51" s="80"/>
      <c r="AQ51" s="80"/>
      <c r="AR51" s="80"/>
      <c r="AS51" s="80"/>
      <c r="AT51" s="80"/>
      <c r="AU51" s="80"/>
      <c r="AV51" s="81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71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7"/>
      <c r="CE51" s="37"/>
      <c r="CF51" s="37"/>
      <c r="CG51" s="302"/>
      <c r="CH51" s="303"/>
      <c r="CI51" s="303"/>
      <c r="CJ51" s="303"/>
      <c r="CK51" s="303"/>
      <c r="CL51" s="303"/>
      <c r="CM51" s="303"/>
      <c r="CN51" s="303"/>
      <c r="CO51" s="303"/>
      <c r="CP51" s="303"/>
      <c r="CQ51" s="303"/>
      <c r="CR51" s="304"/>
      <c r="CS51" s="35"/>
      <c r="CT51" s="35"/>
      <c r="CU51" s="35"/>
      <c r="CV51" s="35"/>
      <c r="CW51" s="36"/>
      <c r="CY51" s="12" t="s">
        <v>24</v>
      </c>
    </row>
    <row r="52" spans="2:107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6"/>
      <c r="CY52" s="13" t="s">
        <v>25</v>
      </c>
    </row>
    <row r="53" spans="2:107" ht="20.100000000000001" customHeigh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72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5"/>
      <c r="CU53" s="35"/>
      <c r="CV53" s="35"/>
      <c r="CW53" s="36"/>
      <c r="CY53" s="12"/>
    </row>
    <row r="54" spans="2:107" ht="20.100000000000001" customHeight="1">
      <c r="B54" s="83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75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75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34"/>
      <c r="BZ54" s="35"/>
      <c r="CA54" s="35"/>
      <c r="CB54" s="35"/>
      <c r="CC54" s="35"/>
      <c r="CD54" s="35"/>
      <c r="CE54" s="35"/>
      <c r="CF54" s="35"/>
      <c r="CG54" s="35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5"/>
      <c r="CU54" s="35"/>
      <c r="CV54" s="35"/>
      <c r="CW54" s="36"/>
      <c r="CY54" s="13"/>
    </row>
    <row r="55" spans="2:107" ht="20.100000000000001" customHeight="1" thickBot="1">
      <c r="B55" s="83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75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34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</row>
    <row r="56" spans="2:107" ht="20.100000000000001" customHeight="1">
      <c r="B56" s="31"/>
      <c r="C56" s="32"/>
      <c r="D56" s="32"/>
      <c r="E56" s="32"/>
      <c r="F56" s="32"/>
      <c r="G56" s="32"/>
      <c r="H56" s="32"/>
      <c r="I56" s="32"/>
      <c r="J56" s="260"/>
      <c r="K56" s="247"/>
      <c r="L56" s="247"/>
      <c r="M56" s="247"/>
      <c r="N56" s="248"/>
      <c r="O56" s="32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4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32"/>
      <c r="BR56" s="32"/>
      <c r="BS56" s="32"/>
      <c r="BT56" s="32"/>
      <c r="BU56" s="32"/>
      <c r="BV56" s="32"/>
      <c r="BW56" s="32"/>
      <c r="BX56" s="33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3"/>
      <c r="CY56" s="15" t="s">
        <v>40</v>
      </c>
    </row>
    <row r="57" spans="2:107" ht="20.100000000000001" customHeight="1" thickBot="1"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16" t="s">
        <v>23</v>
      </c>
    </row>
    <row r="58" spans="2:107" ht="20.100000000000001" customHeight="1" thickTop="1" thickBot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310">
        <f>DC58</f>
        <v>0</v>
      </c>
      <c r="CZ58" s="311"/>
      <c r="DA58" s="311"/>
      <c r="DB58" s="312"/>
      <c r="DC58" s="28">
        <f t="array" ref="DC58:DC59">TRANSPOSE(TotalUnitsAndWeightsSum(DECK9))</f>
        <v>0</v>
      </c>
    </row>
    <row r="59" spans="2:107" ht="20.100000000000001" customHeight="1" thickTop="1" thickBo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299"/>
      <c r="AM59" s="300"/>
      <c r="AN59" s="300"/>
      <c r="AO59" s="300"/>
      <c r="AP59" s="300"/>
      <c r="AQ59" s="300"/>
      <c r="AR59" s="300"/>
      <c r="AS59" s="300"/>
      <c r="AT59" s="300"/>
      <c r="AU59" s="300"/>
      <c r="AV59" s="301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40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294">
        <f>DC59</f>
        <v>0</v>
      </c>
      <c r="CZ59" s="295"/>
      <c r="DA59" s="295"/>
      <c r="DB59" s="296"/>
      <c r="DC59" s="28">
        <v>0</v>
      </c>
    </row>
    <row r="60" spans="2:107" ht="20.100000000000001" customHeight="1" thickTop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302"/>
      <c r="AM60" s="303"/>
      <c r="AN60" s="303"/>
      <c r="AO60" s="303"/>
      <c r="AP60" s="303"/>
      <c r="AQ60" s="303"/>
      <c r="AR60" s="303"/>
      <c r="AS60" s="303"/>
      <c r="AT60" s="303"/>
      <c r="AU60" s="303"/>
      <c r="AV60" s="304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3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  <c r="CY60" s="12" t="s">
        <v>24</v>
      </c>
    </row>
    <row r="61" spans="2:107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6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  <c r="CY61" s="13" t="s">
        <v>25</v>
      </c>
    </row>
    <row r="62" spans="2:107" ht="20.100000000000001" customHeight="1">
      <c r="B62" s="34"/>
      <c r="C62" s="35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58"/>
      <c r="AB62" s="58"/>
      <c r="AC62" s="58"/>
      <c r="AD62" s="58"/>
      <c r="AE62" s="58"/>
      <c r="AF62" s="58"/>
      <c r="AG62" s="58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35"/>
      <c r="BW62" s="35"/>
      <c r="BX62" s="36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</row>
    <row r="63" spans="2:107" ht="20.100000000000001" customHeight="1">
      <c r="B63" s="34"/>
      <c r="C63" s="35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75"/>
      <c r="AA63" s="58"/>
      <c r="AB63" s="58"/>
      <c r="AC63" s="58"/>
      <c r="AD63" s="58"/>
      <c r="AE63" s="58"/>
      <c r="AF63" s="58"/>
      <c r="AG63" s="58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35"/>
      <c r="BW63" s="35"/>
      <c r="BX63" s="35"/>
      <c r="BY63" s="34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</row>
    <row r="64" spans="2:107" ht="20.100000000000001" customHeight="1" thickBo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5"/>
      <c r="BY64" s="34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22"/>
    </row>
    <row r="65" spans="2:109" ht="20.100000000000001" customHeight="1">
      <c r="B65" s="31"/>
      <c r="C65" s="32"/>
      <c r="D65" s="32"/>
      <c r="E65" s="32"/>
      <c r="F65" s="32"/>
      <c r="G65" s="32"/>
      <c r="H65" s="32"/>
      <c r="I65" s="32"/>
      <c r="J65" s="260"/>
      <c r="K65" s="247"/>
      <c r="L65" s="247"/>
      <c r="M65" s="247"/>
      <c r="N65" s="248"/>
      <c r="O65" s="32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4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32"/>
      <c r="BR65" s="32"/>
      <c r="BS65" s="32"/>
      <c r="BT65" s="32"/>
      <c r="BU65" s="32"/>
      <c r="BV65" s="32"/>
      <c r="BW65" s="32"/>
      <c r="BX65" s="33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3"/>
      <c r="CY65" s="297" t="s">
        <v>41</v>
      </c>
      <c r="CZ65" s="298"/>
      <c r="DA65" s="298"/>
      <c r="DB65" s="298"/>
      <c r="DC65" s="313" t="s">
        <v>42</v>
      </c>
      <c r="DD65" s="313"/>
      <c r="DE65" s="314"/>
    </row>
    <row r="66" spans="2:109" ht="20.100000000000001" customHeigh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35"/>
      <c r="BR66" s="35"/>
      <c r="BS66" s="35"/>
      <c r="BT66" s="35"/>
      <c r="BU66" s="35"/>
      <c r="BV66" s="35"/>
      <c r="BW66" s="35"/>
      <c r="BX66" s="36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7" t="s">
        <v>5</v>
      </c>
    </row>
    <row r="67" spans="2:109" ht="20.100000000000001" customHeigh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58"/>
      <c r="BI67" s="72"/>
      <c r="BJ67" s="72"/>
      <c r="BK67" s="72"/>
      <c r="BL67" s="72"/>
      <c r="BM67" s="72"/>
      <c r="BN67" s="72"/>
      <c r="BO67" s="72"/>
      <c r="BP67" s="72"/>
      <c r="BQ67" s="37"/>
      <c r="BR67" s="37"/>
      <c r="BS67" s="37"/>
      <c r="BT67" s="35"/>
      <c r="BU67" s="35"/>
      <c r="BV67" s="35"/>
      <c r="BW67" s="35"/>
      <c r="BX67" s="36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8" t="s">
        <v>4</v>
      </c>
    </row>
    <row r="68" spans="2:109" ht="20.100000000000001" customHeight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59" t="s">
        <v>12</v>
      </c>
      <c r="AG68" s="60"/>
      <c r="AH68" s="60"/>
      <c r="AI68" s="60"/>
      <c r="AJ68" s="60"/>
      <c r="AK68" s="60"/>
      <c r="AL68" s="60"/>
      <c r="AM68" s="61"/>
      <c r="AN68" s="305"/>
      <c r="AO68" s="305"/>
      <c r="AP68" s="305"/>
      <c r="AQ68" s="305"/>
      <c r="AR68" s="305"/>
      <c r="AS68" s="305"/>
      <c r="AT68" s="305"/>
      <c r="AU68" s="305"/>
      <c r="AV68" s="306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76"/>
      <c r="BI68" s="77"/>
      <c r="BJ68" s="77"/>
      <c r="BK68" s="77"/>
      <c r="BL68" s="77"/>
      <c r="BM68" s="77"/>
      <c r="BN68" s="77"/>
      <c r="BO68" s="77"/>
      <c r="BP68" s="77"/>
      <c r="BQ68" s="39"/>
      <c r="BR68" s="39"/>
      <c r="BS68" s="40"/>
      <c r="BT68" s="35"/>
      <c r="BU68" s="35"/>
      <c r="BV68" s="35"/>
      <c r="BW68" s="35"/>
      <c r="BX68" s="36"/>
      <c r="BY68" s="307"/>
      <c r="BZ68" s="300"/>
      <c r="CA68" s="300"/>
      <c r="CB68" s="300"/>
      <c r="CC68" s="300"/>
      <c r="CD68" s="300"/>
      <c r="CE68" s="300"/>
      <c r="CF68" s="300"/>
      <c r="CG68" s="300"/>
      <c r="CH68" s="300"/>
      <c r="CI68" s="300"/>
      <c r="CJ68" s="301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18" t="s">
        <v>23</v>
      </c>
    </row>
    <row r="69" spans="2:109" ht="20.100000000000001" customHeight="1" thickTop="1" thickBot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62"/>
      <c r="AG69" s="63"/>
      <c r="AH69" s="63"/>
      <c r="AI69" s="63"/>
      <c r="AJ69" s="63"/>
      <c r="AK69" s="63"/>
      <c r="AL69" s="63"/>
      <c r="AM69" s="64"/>
      <c r="AN69" s="65"/>
      <c r="AO69" s="66"/>
      <c r="AP69" s="66"/>
      <c r="AQ69" s="66"/>
      <c r="AR69" s="66"/>
      <c r="AS69" s="66"/>
      <c r="AT69" s="66"/>
      <c r="AU69" s="66"/>
      <c r="AV69" s="67"/>
      <c r="AW69" s="35"/>
      <c r="AX69" s="35"/>
      <c r="AY69" s="35"/>
      <c r="AZ69" s="35"/>
      <c r="BA69" s="35"/>
      <c r="BB69" s="36"/>
      <c r="BC69" s="58"/>
      <c r="BD69" s="58"/>
      <c r="BE69" s="58"/>
      <c r="BF69" s="58"/>
      <c r="BG69" s="58"/>
      <c r="BH69" s="79"/>
      <c r="BI69" s="80"/>
      <c r="BJ69" s="80"/>
      <c r="BK69" s="80"/>
      <c r="BL69" s="80"/>
      <c r="BM69" s="80"/>
      <c r="BN69" s="80"/>
      <c r="BO69" s="80"/>
      <c r="BP69" s="80"/>
      <c r="BQ69" s="42"/>
      <c r="BR69" s="42"/>
      <c r="BS69" s="43"/>
      <c r="BT69" s="35"/>
      <c r="BU69" s="35"/>
      <c r="BV69" s="35"/>
      <c r="BW69" s="35"/>
      <c r="BX69" s="36"/>
      <c r="BY69" s="308"/>
      <c r="BZ69" s="303"/>
      <c r="CA69" s="303"/>
      <c r="CB69" s="303"/>
      <c r="CC69" s="303"/>
      <c r="CD69" s="303"/>
      <c r="CE69" s="303"/>
      <c r="CF69" s="303"/>
      <c r="CG69" s="303"/>
      <c r="CH69" s="303"/>
      <c r="CI69" s="303"/>
      <c r="CJ69" s="304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310">
        <f>DC69</f>
        <v>0</v>
      </c>
      <c r="CZ69" s="311"/>
      <c r="DA69" s="311"/>
      <c r="DB69" s="312"/>
      <c r="DC69" s="28">
        <f t="array" ref="DC69:DC70">TRANSPOSE(TotalUnitsAndWeightsSum(DECK8))</f>
        <v>0</v>
      </c>
    </row>
    <row r="70" spans="2:109" ht="20.100000000000001" customHeight="1" thickTop="1" thickBo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5"/>
      <c r="AX70" s="35"/>
      <c r="AY70" s="35"/>
      <c r="AZ70" s="35"/>
      <c r="BA70" s="35"/>
      <c r="BB70" s="36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35"/>
      <c r="BR70" s="35"/>
      <c r="BS70" s="35"/>
      <c r="BT70" s="35"/>
      <c r="BU70" s="35"/>
      <c r="BV70" s="35"/>
      <c r="BW70" s="35"/>
      <c r="BX70" s="36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294">
        <f>DC70</f>
        <v>0</v>
      </c>
      <c r="CZ70" s="295"/>
      <c r="DA70" s="295"/>
      <c r="DB70" s="296"/>
      <c r="DC70" s="28">
        <v>0</v>
      </c>
    </row>
    <row r="71" spans="2:109" ht="20.100000000000001" customHeight="1" thickTop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6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  <c r="CY71" s="19" t="s">
        <v>24</v>
      </c>
    </row>
    <row r="72" spans="2:109" ht="20.100000000000001" customHeigh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6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6"/>
      <c r="CY72" s="20" t="s">
        <v>26</v>
      </c>
    </row>
    <row r="73" spans="2:109" ht="20.100000000000001" customHeight="1" thickBot="1"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4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6"/>
    </row>
    <row r="74" spans="2:109" ht="20.100000000000001" customHeight="1">
      <c r="B74" s="32"/>
      <c r="C74" s="32"/>
      <c r="D74" s="32"/>
      <c r="E74" s="32"/>
      <c r="F74" s="33"/>
      <c r="G74" s="246"/>
      <c r="H74" s="247"/>
      <c r="I74" s="248"/>
      <c r="J74" s="260"/>
      <c r="K74" s="247"/>
      <c r="L74" s="247"/>
      <c r="M74" s="247"/>
      <c r="N74" s="248"/>
      <c r="O74" s="32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4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1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1"/>
      <c r="CP74" s="32"/>
      <c r="CQ74" s="32"/>
      <c r="CR74" s="32"/>
      <c r="CS74" s="32"/>
      <c r="CT74" s="32"/>
      <c r="CU74" s="32"/>
      <c r="CV74" s="32"/>
      <c r="CW74" s="32"/>
      <c r="CY74" s="15" t="s">
        <v>43</v>
      </c>
    </row>
    <row r="75" spans="2:109" ht="20.100000000000001" customHeigh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6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4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8" t="s">
        <v>23</v>
      </c>
    </row>
    <row r="76" spans="2:109" ht="20.100000000000001" customHeigh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299" t="s">
        <v>12</v>
      </c>
      <c r="AG76" s="300"/>
      <c r="AH76" s="300"/>
      <c r="AI76" s="300"/>
      <c r="AJ76" s="300"/>
      <c r="AK76" s="300"/>
      <c r="AL76" s="300"/>
      <c r="AM76" s="300"/>
      <c r="AN76" s="301"/>
      <c r="AO76" s="305"/>
      <c r="AP76" s="305"/>
      <c r="AQ76" s="305"/>
      <c r="AR76" s="305"/>
      <c r="AS76" s="305"/>
      <c r="AT76" s="305"/>
      <c r="AU76" s="305"/>
      <c r="AV76" s="306"/>
      <c r="AW76" s="35"/>
      <c r="AX76" s="35"/>
      <c r="AY76" s="35"/>
      <c r="AZ76" s="35"/>
      <c r="BA76" s="35"/>
      <c r="BB76" s="36"/>
      <c r="BC76" s="35"/>
      <c r="BD76" s="35"/>
      <c r="BE76" s="44"/>
      <c r="BF76" s="44"/>
      <c r="BG76" s="44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4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8" t="s">
        <v>27</v>
      </c>
    </row>
    <row r="77" spans="2:109" ht="20.100000000000001" customHeight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302"/>
      <c r="AG77" s="303"/>
      <c r="AH77" s="303"/>
      <c r="AI77" s="303"/>
      <c r="AJ77" s="303"/>
      <c r="AK77" s="303"/>
      <c r="AL77" s="303"/>
      <c r="AM77" s="303"/>
      <c r="AN77" s="304"/>
      <c r="AO77" s="42"/>
      <c r="AP77" s="42"/>
      <c r="AQ77" s="42"/>
      <c r="AR77" s="42"/>
      <c r="AS77" s="42"/>
      <c r="AT77" s="42"/>
      <c r="AU77" s="42"/>
      <c r="AV77" s="43"/>
      <c r="AW77" s="35"/>
      <c r="AX77" s="35"/>
      <c r="AY77" s="35"/>
      <c r="AZ77" s="35"/>
      <c r="BA77" s="35"/>
      <c r="BB77" s="36"/>
      <c r="BC77" s="35"/>
      <c r="BD77" s="35"/>
      <c r="BE77" s="44"/>
      <c r="BF77" s="44"/>
      <c r="BG77" s="44"/>
      <c r="BH77" s="299"/>
      <c r="BI77" s="300"/>
      <c r="BJ77" s="300"/>
      <c r="BK77" s="300"/>
      <c r="BL77" s="300"/>
      <c r="BM77" s="300"/>
      <c r="BN77" s="300"/>
      <c r="BO77" s="300"/>
      <c r="BP77" s="300"/>
      <c r="BQ77" s="300"/>
      <c r="BR77" s="300"/>
      <c r="BS77" s="300"/>
      <c r="BT77" s="300"/>
      <c r="BU77" s="300"/>
      <c r="BV77" s="300"/>
      <c r="BW77" s="300"/>
      <c r="BX77" s="300"/>
      <c r="BY77" s="307"/>
      <c r="BZ77" s="300"/>
      <c r="CA77" s="301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17" t="s">
        <v>28</v>
      </c>
    </row>
    <row r="78" spans="2:109" ht="20.100000000000001" customHeight="1" thickTop="1" thickBot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302"/>
      <c r="BI78" s="303"/>
      <c r="BJ78" s="303"/>
      <c r="BK78" s="303"/>
      <c r="BL78" s="303"/>
      <c r="BM78" s="303"/>
      <c r="BN78" s="303"/>
      <c r="BO78" s="303"/>
      <c r="BP78" s="303"/>
      <c r="BQ78" s="303"/>
      <c r="BR78" s="303"/>
      <c r="BS78" s="303"/>
      <c r="BT78" s="303"/>
      <c r="BU78" s="303"/>
      <c r="BV78" s="303"/>
      <c r="BW78" s="303"/>
      <c r="BX78" s="303"/>
      <c r="BY78" s="308"/>
      <c r="BZ78" s="303"/>
      <c r="CA78" s="304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310">
        <f>DC78</f>
        <v>0</v>
      </c>
      <c r="CZ78" s="311"/>
      <c r="DA78" s="311"/>
      <c r="DB78" s="312"/>
      <c r="DC78" s="28">
        <f t="array" ref="DC78:DC79">TRANSPOSE(TotalUnitsAndWeightsSum(DECK7))</f>
        <v>0</v>
      </c>
    </row>
    <row r="79" spans="2:109" ht="20.100000000000001" customHeight="1" thickTop="1" thickBo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46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294">
        <f>DC79</f>
        <v>0</v>
      </c>
      <c r="CZ79" s="295"/>
      <c r="DA79" s="295"/>
      <c r="DB79" s="296"/>
      <c r="DC79" s="28">
        <v>0</v>
      </c>
    </row>
    <row r="80" spans="2:109" ht="20.100000000000001" customHeight="1" thickTop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4"/>
      <c r="BZ80" s="37"/>
      <c r="CA80" s="37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  <c r="CY80" s="12" t="s">
        <v>29</v>
      </c>
    </row>
    <row r="81" spans="2:109" ht="20.100000000000001" customHeight="1">
      <c r="B81" s="35"/>
      <c r="C81" s="35"/>
      <c r="D81" s="35"/>
      <c r="E81" s="35"/>
      <c r="F81" s="36"/>
      <c r="G81" s="35"/>
      <c r="H81" s="35"/>
      <c r="I81" s="35"/>
      <c r="J81" s="35"/>
      <c r="K81" s="35"/>
      <c r="L81" s="35"/>
      <c r="M81" s="35"/>
      <c r="N81" s="35"/>
      <c r="O81" s="3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7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4"/>
      <c r="CP81" s="35"/>
      <c r="CQ81" s="35"/>
      <c r="CR81" s="35"/>
      <c r="CS81" s="35"/>
      <c r="CT81" s="35"/>
      <c r="CU81" s="35"/>
      <c r="CV81" s="35"/>
      <c r="CW81" s="35"/>
      <c r="CY81" s="13" t="s">
        <v>30</v>
      </c>
    </row>
    <row r="82" spans="2:109" ht="20.100000000000001" customHeight="1" thickBot="1">
      <c r="B82" s="35"/>
      <c r="C82" s="35"/>
      <c r="D82" s="35"/>
      <c r="E82" s="35"/>
      <c r="F82" s="36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4"/>
      <c r="CP82" s="35"/>
      <c r="CQ82" s="35"/>
      <c r="CR82" s="35"/>
      <c r="CS82" s="35"/>
      <c r="CT82" s="35"/>
      <c r="CU82" s="35"/>
      <c r="CV82" s="35"/>
      <c r="CW82" s="35"/>
    </row>
    <row r="83" spans="2:109" ht="20.100000000000001" customHeight="1">
      <c r="B83" s="31"/>
      <c r="C83" s="32"/>
      <c r="D83" s="32"/>
      <c r="E83" s="32"/>
      <c r="F83" s="32"/>
      <c r="G83" s="32"/>
      <c r="H83" s="32"/>
      <c r="I83" s="32"/>
      <c r="J83" s="260"/>
      <c r="K83" s="247"/>
      <c r="L83" s="247"/>
      <c r="M83" s="247"/>
      <c r="N83" s="248"/>
      <c r="O83" s="32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4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3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1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4"/>
      <c r="CR83" s="35"/>
      <c r="CS83" s="35"/>
      <c r="CT83" s="35"/>
      <c r="CU83" s="35"/>
      <c r="CV83" s="35"/>
      <c r="CW83" s="35"/>
      <c r="CY83" s="315" t="s">
        <v>44</v>
      </c>
      <c r="CZ83" s="316"/>
      <c r="DA83" s="316"/>
      <c r="DB83" s="316"/>
      <c r="DC83" s="292" t="s">
        <v>42</v>
      </c>
      <c r="DD83" s="292"/>
      <c r="DE83" s="293"/>
    </row>
    <row r="84" spans="2:109" ht="20.100000000000001" customHeigh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4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5</v>
      </c>
    </row>
    <row r="85" spans="2:109" ht="20.100000000000001" customHeigh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4"/>
      <c r="BZ85" s="37"/>
      <c r="CA85" s="37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7" t="s">
        <v>4</v>
      </c>
    </row>
    <row r="86" spans="2:109" ht="20.100000000000001" customHeight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8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40"/>
      <c r="AO86" s="68"/>
      <c r="AP86" s="66"/>
      <c r="AQ86" s="66"/>
      <c r="AR86" s="66"/>
      <c r="AS86" s="66"/>
      <c r="AT86" s="66"/>
      <c r="AU86" s="66"/>
      <c r="AV86" s="6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8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40"/>
      <c r="BT86" s="38"/>
      <c r="BU86" s="39"/>
      <c r="BV86" s="39"/>
      <c r="BW86" s="39"/>
      <c r="BX86" s="39"/>
      <c r="BY86" s="46"/>
      <c r="BZ86" s="39"/>
      <c r="CA86" s="40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18" t="s">
        <v>23</v>
      </c>
    </row>
    <row r="87" spans="2:109" ht="20.100000000000001" customHeight="1" thickTop="1" thickBot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4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3"/>
      <c r="AO87" s="448"/>
      <c r="AP87" s="305"/>
      <c r="AQ87" s="305"/>
      <c r="AR87" s="305"/>
      <c r="AS87" s="305"/>
      <c r="AT87" s="305"/>
      <c r="AU87" s="305"/>
      <c r="AV87" s="306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41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3"/>
      <c r="BT87" s="41"/>
      <c r="BU87" s="42"/>
      <c r="BV87" s="42"/>
      <c r="BW87" s="42"/>
      <c r="BX87" s="42"/>
      <c r="BY87" s="45"/>
      <c r="BZ87" s="42"/>
      <c r="CA87" s="43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310">
        <f>DC87</f>
        <v>0</v>
      </c>
      <c r="CZ87" s="311"/>
      <c r="DA87" s="311"/>
      <c r="DB87" s="312"/>
      <c r="DC87" s="28">
        <f t="array" ref="DC87:DC88">TRANSPOSE(TotalUnitsAndWeightsSum(DECK6))</f>
        <v>0</v>
      </c>
    </row>
    <row r="88" spans="2:109" ht="20.100000000000001" customHeight="1" thickTop="1" thickBo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75"/>
      <c r="AA88" s="35"/>
      <c r="AB88" s="35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294">
        <f>DC88</f>
        <v>0</v>
      </c>
      <c r="CZ88" s="295"/>
      <c r="DA88" s="295"/>
      <c r="DB88" s="296"/>
      <c r="DC88" s="28">
        <v>0</v>
      </c>
    </row>
    <row r="89" spans="2:109" ht="20.100000000000001" customHeight="1" thickTop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75"/>
      <c r="AA89" s="35"/>
      <c r="AB89" s="35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  <c r="CY89" s="12" t="s">
        <v>24</v>
      </c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6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4"/>
      <c r="CR90" s="35"/>
      <c r="CS90" s="35"/>
      <c r="CT90" s="35"/>
      <c r="CU90" s="35"/>
      <c r="CV90" s="35"/>
      <c r="CW90" s="35"/>
      <c r="CY90" s="13" t="s">
        <v>25</v>
      </c>
    </row>
    <row r="91" spans="2:109" ht="20.100000000000001" customHeight="1" thickBot="1"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5"/>
      <c r="CS91" s="35"/>
      <c r="CT91" s="35"/>
      <c r="CU91" s="35"/>
      <c r="CV91" s="35"/>
      <c r="CW91" s="35"/>
    </row>
    <row r="92" spans="2:109" ht="20.100000000000001" customHeight="1">
      <c r="B92" s="132"/>
      <c r="C92" s="133"/>
      <c r="D92" s="133"/>
      <c r="E92" s="133"/>
      <c r="F92" s="133"/>
      <c r="G92" s="133"/>
      <c r="H92" s="133"/>
      <c r="I92" s="133"/>
      <c r="J92" s="380"/>
      <c r="K92" s="381"/>
      <c r="L92" s="381"/>
      <c r="M92" s="381"/>
      <c r="N92" s="381"/>
      <c r="O92" s="381"/>
      <c r="P92" s="382"/>
      <c r="Q92" s="32"/>
      <c r="R92" s="32"/>
      <c r="S92" s="32"/>
      <c r="T92" s="260"/>
      <c r="U92" s="247"/>
      <c r="V92" s="247"/>
      <c r="W92" s="247"/>
      <c r="X92" s="247"/>
      <c r="Y92" s="247"/>
      <c r="Z92" s="399"/>
      <c r="AA92" s="246"/>
      <c r="AB92" s="247"/>
      <c r="AC92" s="247"/>
      <c r="AD92" s="247"/>
      <c r="AE92" s="247"/>
      <c r="AF92" s="247"/>
      <c r="AG92" s="247"/>
      <c r="AH92" s="247"/>
      <c r="AI92" s="247"/>
      <c r="AJ92" s="247"/>
      <c r="AK92" s="248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1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4"/>
      <c r="CR92" s="37"/>
      <c r="CS92" s="37"/>
      <c r="CT92" s="37"/>
      <c r="CU92" s="37"/>
      <c r="CV92" s="37"/>
      <c r="CW92" s="37"/>
      <c r="CY92" s="15" t="s">
        <v>45</v>
      </c>
    </row>
    <row r="93" spans="2:109" ht="20.100000000000001" customHeight="1">
      <c r="B93" s="134"/>
      <c r="C93" s="210"/>
      <c r="D93" s="210"/>
      <c r="E93" s="210"/>
      <c r="F93" s="210"/>
      <c r="G93" s="210"/>
      <c r="H93" s="210"/>
      <c r="I93" s="210"/>
      <c r="J93" s="302"/>
      <c r="K93" s="303"/>
      <c r="L93" s="303"/>
      <c r="M93" s="303"/>
      <c r="N93" s="303"/>
      <c r="O93" s="303"/>
      <c r="P93" s="304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31</v>
      </c>
    </row>
    <row r="94" spans="2:109" ht="20.100000000000001" customHeight="1" thickBo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7" t="s">
        <v>32</v>
      </c>
    </row>
    <row r="95" spans="2:109" ht="20.100000000000001" customHeight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299"/>
      <c r="AD95" s="300"/>
      <c r="AE95" s="300"/>
      <c r="AF95" s="300"/>
      <c r="AG95" s="300"/>
      <c r="AH95" s="300"/>
      <c r="AI95" s="300"/>
      <c r="AJ95" s="300"/>
      <c r="AK95" s="301"/>
      <c r="AL95" s="187"/>
      <c r="AM95" s="187"/>
      <c r="AN95" s="187"/>
      <c r="AO95" s="188"/>
      <c r="AP95" s="188"/>
      <c r="AQ95" s="188"/>
      <c r="AR95" s="188"/>
      <c r="AS95" s="188"/>
      <c r="AT95" s="188"/>
      <c r="AU95" s="188"/>
      <c r="AV95" s="188"/>
      <c r="AW95" s="188"/>
      <c r="AX95" s="189"/>
      <c r="AY95" s="35"/>
      <c r="AZ95" s="35"/>
      <c r="BA95" s="35"/>
      <c r="BB95" s="36"/>
      <c r="BC95" s="35"/>
      <c r="BD95" s="35"/>
      <c r="BE95" s="35"/>
      <c r="BF95" s="35"/>
      <c r="BG95" s="35"/>
      <c r="BH95" s="299"/>
      <c r="BI95" s="300"/>
      <c r="BJ95" s="300"/>
      <c r="BK95" s="300"/>
      <c r="BL95" s="300"/>
      <c r="BM95" s="300"/>
      <c r="BN95" s="301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18" t="s">
        <v>33</v>
      </c>
    </row>
    <row r="96" spans="2:109" ht="20.100000000000001" customHeight="1" thickTop="1" thickBot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404"/>
      <c r="AD96" s="405"/>
      <c r="AE96" s="405"/>
      <c r="AF96" s="405"/>
      <c r="AG96" s="405"/>
      <c r="AH96" s="405"/>
      <c r="AI96" s="405"/>
      <c r="AJ96" s="405"/>
      <c r="AK96" s="406"/>
      <c r="AL96" s="44"/>
      <c r="AM96" s="44"/>
      <c r="AN96" s="44"/>
      <c r="AO96" s="35"/>
      <c r="AP96" s="35"/>
      <c r="AQ96" s="35"/>
      <c r="AR96" s="35"/>
      <c r="AS96" s="35"/>
      <c r="AT96" s="37"/>
      <c r="AU96" s="35"/>
      <c r="AV96" s="35"/>
      <c r="AW96" s="35"/>
      <c r="AX96" s="190"/>
      <c r="AY96" s="35"/>
      <c r="AZ96" s="35"/>
      <c r="BA96" s="35"/>
      <c r="BB96" s="36"/>
      <c r="BC96" s="35"/>
      <c r="BD96" s="35"/>
      <c r="BE96" s="35"/>
      <c r="BF96" s="35"/>
      <c r="BG96" s="35"/>
      <c r="BH96" s="404"/>
      <c r="BI96" s="405"/>
      <c r="BJ96" s="405"/>
      <c r="BK96" s="405"/>
      <c r="BL96" s="405"/>
      <c r="BM96" s="405"/>
      <c r="BN96" s="406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310">
        <f>DC96</f>
        <v>0</v>
      </c>
      <c r="CZ96" s="311"/>
      <c r="DA96" s="311"/>
      <c r="DB96" s="312"/>
      <c r="DC96" s="28">
        <f t="array" ref="DC96:DC97">TRANSPOSE(TotalUnitsAndWeightsSum(DECK5))</f>
        <v>0</v>
      </c>
    </row>
    <row r="97" spans="2:107" ht="20.100000000000001" customHeight="1" thickTop="1" thickBo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302"/>
      <c r="AD97" s="303"/>
      <c r="AE97" s="303"/>
      <c r="AF97" s="303"/>
      <c r="AG97" s="303"/>
      <c r="AH97" s="303"/>
      <c r="AI97" s="303"/>
      <c r="AJ97" s="303"/>
      <c r="AK97" s="304"/>
      <c r="AL97" s="191"/>
      <c r="AM97" s="191"/>
      <c r="AN97" s="191"/>
      <c r="AO97" s="192"/>
      <c r="AP97" s="192"/>
      <c r="AQ97" s="192"/>
      <c r="AR97" s="192"/>
      <c r="AS97" s="192"/>
      <c r="AT97" s="192"/>
      <c r="AU97" s="192"/>
      <c r="AV97" s="192"/>
      <c r="AW97" s="192"/>
      <c r="AX97" s="193"/>
      <c r="AY97" s="35"/>
      <c r="AZ97" s="35"/>
      <c r="BA97" s="35"/>
      <c r="BB97" s="36"/>
      <c r="BC97" s="35"/>
      <c r="BD97" s="35"/>
      <c r="BE97" s="35"/>
      <c r="BF97" s="35"/>
      <c r="BG97" s="35"/>
      <c r="BH97" s="302"/>
      <c r="BI97" s="303"/>
      <c r="BJ97" s="303"/>
      <c r="BK97" s="303"/>
      <c r="BL97" s="303"/>
      <c r="BM97" s="303"/>
      <c r="BN97" s="304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294">
        <f>DC97</f>
        <v>0</v>
      </c>
      <c r="CZ97" s="295"/>
      <c r="DA97" s="295"/>
      <c r="DB97" s="296"/>
      <c r="DC97" s="28">
        <v>0</v>
      </c>
    </row>
    <row r="98" spans="2:107" ht="20.100000000000001" customHeight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3"/>
      <c r="AI98" s="35"/>
      <c r="AJ98" s="35"/>
      <c r="AK98" s="35"/>
      <c r="AL98" s="35"/>
      <c r="AM98" s="35"/>
      <c r="AN98" s="35"/>
      <c r="AO98" s="35"/>
      <c r="AP98" s="35"/>
      <c r="AQ98" s="35"/>
      <c r="AR98" s="54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0"/>
      <c r="BJ98" s="51"/>
      <c r="BK98" s="51"/>
      <c r="BL98" s="51"/>
      <c r="BM98" s="51"/>
      <c r="BN98" s="51"/>
      <c r="BO98" s="51"/>
      <c r="BP98" s="51"/>
      <c r="BQ98" s="51"/>
      <c r="BR98" s="51"/>
      <c r="BS98" s="52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4"/>
      <c r="CR98" s="37"/>
      <c r="CS98" s="37"/>
      <c r="CT98" s="37"/>
      <c r="CU98" s="37"/>
      <c r="CV98" s="37"/>
      <c r="CW98" s="37"/>
      <c r="CY98" s="12" t="s">
        <v>34</v>
      </c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53"/>
      <c r="AI99" s="35"/>
      <c r="AJ99" s="35"/>
      <c r="AK99" s="35"/>
      <c r="AL99" s="35"/>
      <c r="AM99" s="35"/>
      <c r="AN99" s="35"/>
      <c r="AO99" s="35"/>
      <c r="AP99" s="35"/>
      <c r="AQ99" s="35"/>
      <c r="AR99" s="54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53"/>
      <c r="BJ99" s="35"/>
      <c r="BK99" s="35"/>
      <c r="BL99" s="35"/>
      <c r="BM99" s="35"/>
      <c r="BN99" s="35"/>
      <c r="BO99" s="35"/>
      <c r="BP99" s="35"/>
      <c r="BQ99" s="35"/>
      <c r="BR99" s="35"/>
      <c r="BS99" s="54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4"/>
      <c r="CR99" s="37"/>
      <c r="CS99" s="37"/>
      <c r="CT99" s="37"/>
      <c r="CU99" s="37"/>
      <c r="CV99" s="37"/>
      <c r="CW99" s="37"/>
      <c r="CY99" s="13" t="s">
        <v>35</v>
      </c>
    </row>
    <row r="100" spans="2:107" ht="20.100000000000001" customHeight="1" thickBo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6"/>
      <c r="AA100" s="35"/>
      <c r="AB100" s="35"/>
      <c r="AC100" s="35"/>
      <c r="AD100" s="35"/>
      <c r="AE100" s="35"/>
      <c r="AF100" s="35"/>
      <c r="AG100" s="35"/>
      <c r="AH100" s="55"/>
      <c r="AI100" s="56"/>
      <c r="AJ100" s="56"/>
      <c r="AK100" s="56"/>
      <c r="AL100" s="56"/>
      <c r="AM100" s="56"/>
      <c r="AN100" s="56"/>
      <c r="AO100" s="56"/>
      <c r="AP100" s="56"/>
      <c r="AQ100" s="56"/>
      <c r="AR100" s="57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55"/>
      <c r="BJ100" s="56"/>
      <c r="BK100" s="56"/>
      <c r="BL100" s="56"/>
      <c r="BM100" s="56"/>
      <c r="BN100" s="56"/>
      <c r="BO100" s="56"/>
      <c r="BP100" s="56"/>
      <c r="BQ100" s="56"/>
      <c r="BR100" s="56"/>
      <c r="BS100" s="57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6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299"/>
      <c r="Z102" s="401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34"/>
      <c r="CR102" s="37"/>
      <c r="CS102" s="37"/>
      <c r="CT102" s="37"/>
      <c r="CU102" s="37"/>
      <c r="CV102" s="37"/>
      <c r="CW102" s="37"/>
    </row>
    <row r="103" spans="2:107" ht="20.100000000000001" customHeight="1" thickBot="1"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396"/>
      <c r="W103" s="397"/>
      <c r="X103" s="398"/>
      <c r="Y103" s="402"/>
      <c r="Z103" s="403"/>
      <c r="AA103" s="400"/>
      <c r="AB103" s="397"/>
      <c r="AC103" s="397"/>
      <c r="AD103" s="397"/>
      <c r="AE103" s="397"/>
      <c r="AF103" s="397"/>
      <c r="AG103" s="397"/>
      <c r="AH103" s="397"/>
      <c r="AI103" s="398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4"/>
      <c r="CR103" s="37"/>
      <c r="CS103" s="37"/>
      <c r="CT103" s="37"/>
      <c r="CU103" s="37"/>
      <c r="CV103" s="37"/>
      <c r="CW103" s="37"/>
    </row>
    <row r="104" spans="2:107" ht="20.100000000000001" customHeight="1">
      <c r="AA104" s="31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73"/>
      <c r="AQ104" s="73"/>
      <c r="AR104" s="73"/>
      <c r="AS104" s="73"/>
      <c r="AT104" s="73"/>
      <c r="AU104" s="73"/>
      <c r="AV104" s="32"/>
      <c r="AW104" s="32"/>
      <c r="AX104" s="32"/>
      <c r="AY104" s="32"/>
      <c r="AZ104" s="32"/>
      <c r="BA104" s="32"/>
      <c r="BB104" s="33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1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3"/>
      <c r="CQ104" s="37"/>
      <c r="CR104" s="37"/>
      <c r="CS104" s="37"/>
      <c r="CT104" s="37"/>
      <c r="CU104" s="37"/>
      <c r="CV104" s="37"/>
      <c r="CW104" s="37"/>
      <c r="CY104" s="10" t="s">
        <v>46</v>
      </c>
    </row>
    <row r="105" spans="2:107" ht="20.100000000000001" customHeight="1" thickBot="1">
      <c r="AA105" s="34"/>
      <c r="AB105" s="35"/>
      <c r="AC105" s="35"/>
      <c r="AD105" s="58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58"/>
      <c r="AQ105" s="58"/>
      <c r="AR105" s="58"/>
      <c r="AS105" s="58"/>
      <c r="AT105" s="58"/>
      <c r="AU105" s="58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11" t="s">
        <v>23</v>
      </c>
    </row>
    <row r="106" spans="2:107" ht="20.100000000000001" customHeight="1" thickTop="1" thickBot="1">
      <c r="AA106" s="34"/>
      <c r="AB106" s="35"/>
      <c r="AC106" s="35"/>
      <c r="AD106" s="225">
        <v>45</v>
      </c>
      <c r="AE106" s="224"/>
      <c r="AF106" s="224"/>
      <c r="AG106" s="224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4"/>
      <c r="BZ106" s="35"/>
      <c r="CA106" s="35"/>
      <c r="CB106" s="35"/>
      <c r="CC106" s="35"/>
      <c r="CD106" s="35"/>
      <c r="CE106" s="35"/>
      <c r="CF106" s="35"/>
      <c r="CG106" s="58"/>
      <c r="CH106" s="58"/>
      <c r="CI106" s="58"/>
      <c r="CJ106" s="58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310">
        <f>DC106</f>
        <v>90</v>
      </c>
      <c r="CZ106" s="311"/>
      <c r="DA106" s="311"/>
      <c r="DB106" s="312"/>
      <c r="DC106" s="28">
        <f t="array" ref="DC106:DC107">TRANSPOSE(TotalUnitsAndWeightsSum(DECK4))</f>
        <v>90</v>
      </c>
    </row>
    <row r="107" spans="2:107" ht="20.100000000000001" customHeight="1" thickTop="1" thickBot="1">
      <c r="AA107" s="34"/>
      <c r="AB107" s="35"/>
      <c r="AC107" s="35"/>
      <c r="AD107" s="223">
        <v>135.30000000000001</v>
      </c>
      <c r="AE107" s="224"/>
      <c r="AF107" s="224"/>
      <c r="AG107" s="224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225">
        <v>45</v>
      </c>
      <c r="AW107" s="224"/>
      <c r="AX107" s="224"/>
      <c r="AY107" s="224"/>
      <c r="AZ107" s="35"/>
      <c r="BA107" s="35"/>
      <c r="BB107" s="36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4"/>
      <c r="BZ107" s="35"/>
      <c r="CA107" s="35"/>
      <c r="CB107" s="35"/>
      <c r="CC107" s="35"/>
      <c r="CD107" s="35"/>
      <c r="CE107" s="35"/>
      <c r="CF107" s="35"/>
      <c r="CG107" s="58"/>
      <c r="CH107" s="58"/>
      <c r="CI107" s="58"/>
      <c r="CJ107" s="58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294">
        <f>DC107</f>
        <v>270.60000000000002</v>
      </c>
      <c r="CZ107" s="295"/>
      <c r="DA107" s="295"/>
      <c r="DB107" s="296"/>
      <c r="DC107" s="28">
        <v>270.60000000000002</v>
      </c>
    </row>
    <row r="108" spans="2:107" ht="20.100000000000001" customHeight="1" thickTop="1">
      <c r="AA108" s="34"/>
      <c r="AB108" s="35"/>
      <c r="AC108" s="35"/>
      <c r="AD108" s="35"/>
      <c r="AE108" s="35"/>
      <c r="AF108" s="35"/>
      <c r="AG108" s="35"/>
      <c r="AH108" s="299"/>
      <c r="AI108" s="300"/>
      <c r="AJ108" s="300"/>
      <c r="AK108" s="300"/>
      <c r="AL108" s="300"/>
      <c r="AM108" s="300"/>
      <c r="AN108" s="300"/>
      <c r="AO108" s="300"/>
      <c r="AP108" s="300"/>
      <c r="AQ108" s="300"/>
      <c r="AR108" s="301"/>
      <c r="AS108" s="35"/>
      <c r="AT108" s="35"/>
      <c r="AU108" s="35"/>
      <c r="AV108" s="223">
        <v>135.30000000000001</v>
      </c>
      <c r="AW108" s="224"/>
      <c r="AX108" s="224"/>
      <c r="AY108" s="224"/>
      <c r="AZ108" s="35"/>
      <c r="BA108" s="35"/>
      <c r="BB108" s="36"/>
      <c r="BC108" s="35"/>
      <c r="BD108" s="35"/>
      <c r="BE108" s="35"/>
      <c r="BF108" s="35"/>
      <c r="BG108" s="35"/>
      <c r="BH108" s="35"/>
      <c r="BI108" s="299"/>
      <c r="BJ108" s="300"/>
      <c r="BK108" s="300"/>
      <c r="BL108" s="300"/>
      <c r="BM108" s="300"/>
      <c r="BN108" s="300"/>
      <c r="BO108" s="300"/>
      <c r="BP108" s="300"/>
      <c r="BQ108" s="300"/>
      <c r="BR108" s="300"/>
      <c r="BS108" s="301"/>
      <c r="BT108" s="35"/>
      <c r="BU108" s="35"/>
      <c r="BV108" s="35"/>
      <c r="BW108" s="35"/>
      <c r="BX108" s="35"/>
      <c r="BY108" s="34"/>
      <c r="BZ108" s="35"/>
      <c r="CA108" s="58"/>
      <c r="CB108" s="58"/>
      <c r="CC108" s="58"/>
      <c r="CD108" s="58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  <c r="CY108" s="12" t="s">
        <v>24</v>
      </c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302"/>
      <c r="AI109" s="303"/>
      <c r="AJ109" s="303"/>
      <c r="AK109" s="303"/>
      <c r="AL109" s="303"/>
      <c r="AM109" s="303"/>
      <c r="AN109" s="303"/>
      <c r="AO109" s="303"/>
      <c r="AP109" s="303"/>
      <c r="AQ109" s="303"/>
      <c r="AR109" s="304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302"/>
      <c r="BJ109" s="303"/>
      <c r="BK109" s="303"/>
      <c r="BL109" s="303"/>
      <c r="BM109" s="303"/>
      <c r="BN109" s="303"/>
      <c r="BO109" s="303"/>
      <c r="BP109" s="303"/>
      <c r="BQ109" s="303"/>
      <c r="BR109" s="303"/>
      <c r="BS109" s="304"/>
      <c r="BT109" s="35"/>
      <c r="BU109" s="35"/>
      <c r="BV109" s="35"/>
      <c r="BW109" s="35"/>
      <c r="BX109" s="35"/>
      <c r="BY109" s="34"/>
      <c r="BZ109" s="35"/>
      <c r="CA109" s="58"/>
      <c r="CB109" s="58"/>
      <c r="CC109" s="58"/>
      <c r="CD109" s="58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  <c r="CY109" s="13" t="s">
        <v>25</v>
      </c>
    </row>
    <row r="110" spans="2:107" ht="20.100000000000001" customHeigh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4"/>
      <c r="AB111" s="35"/>
      <c r="AC111" s="58"/>
      <c r="AD111" s="58"/>
      <c r="AE111" s="58"/>
      <c r="AF111" s="58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6"/>
      <c r="CQ111" s="37"/>
      <c r="CR111" s="37"/>
      <c r="CS111" s="37"/>
      <c r="CT111" s="37"/>
      <c r="CU111" s="37"/>
      <c r="CV111" s="37"/>
      <c r="CW111" s="37"/>
    </row>
    <row r="112" spans="2:107" ht="20.100000000000001" customHeight="1" thickBot="1">
      <c r="AA112" s="34"/>
      <c r="AB112" s="35"/>
      <c r="AC112" s="58"/>
      <c r="AD112" s="58"/>
      <c r="AE112" s="58"/>
      <c r="AF112" s="58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6"/>
      <c r="CQ112" s="37"/>
      <c r="CR112" s="37"/>
      <c r="CS112" s="37"/>
      <c r="CT112" s="37"/>
      <c r="CU112" s="37"/>
      <c r="CV112" s="37"/>
      <c r="CW112" s="37"/>
    </row>
    <row r="113" spans="27:107" ht="20.100000000000001" customHeight="1">
      <c r="AA113" s="31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3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1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3"/>
      <c r="CL113" s="32"/>
      <c r="CM113" s="32"/>
      <c r="CN113" s="32"/>
      <c r="CO113" s="32"/>
      <c r="CP113" s="32"/>
      <c r="CQ113" s="37"/>
      <c r="CR113" s="37"/>
      <c r="CS113" s="37"/>
      <c r="CT113" s="37"/>
      <c r="CU113" s="37"/>
      <c r="CV113" s="37"/>
      <c r="CW113" s="37"/>
      <c r="CX113" s="3"/>
      <c r="CY113" s="10" t="s">
        <v>47</v>
      </c>
    </row>
    <row r="114" spans="27:107" ht="20.100000000000001" customHeight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58"/>
      <c r="AV114" s="58"/>
      <c r="AW114" s="58"/>
      <c r="AX114" s="58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X114" s="3"/>
      <c r="CY114" s="11" t="s">
        <v>23</v>
      </c>
    </row>
    <row r="115" spans="27:107" ht="20.100000000000001" customHeight="1" thickTop="1" thickBot="1">
      <c r="AA115" s="34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58"/>
      <c r="AV115" s="58"/>
      <c r="AW115" s="58"/>
      <c r="AX115" s="58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4"/>
      <c r="BZ115" s="35"/>
      <c r="CA115" s="35"/>
      <c r="CB115" s="58"/>
      <c r="CC115" s="58"/>
      <c r="CD115" s="58"/>
      <c r="CE115" s="58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X115" s="3"/>
      <c r="CY115" s="310">
        <f>DC115</f>
        <v>0</v>
      </c>
      <c r="CZ115" s="311"/>
      <c r="DA115" s="311"/>
      <c r="DB115" s="312"/>
      <c r="DC115" s="28">
        <f t="array" ref="DC115:DC116">TRANSPOSE(TotalUnitsAndWeightsSum(DECK3))</f>
        <v>0</v>
      </c>
    </row>
    <row r="116" spans="27:107" ht="20.100000000000001" customHeight="1" thickTop="1" thickBot="1">
      <c r="AA116" s="34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4"/>
      <c r="BZ116" s="35"/>
      <c r="CA116" s="35"/>
      <c r="CB116" s="58"/>
      <c r="CC116" s="58"/>
      <c r="CD116" s="58"/>
      <c r="CE116" s="58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294">
        <f>DC116</f>
        <v>0</v>
      </c>
      <c r="CZ116" s="295"/>
      <c r="DA116" s="295"/>
      <c r="DB116" s="296"/>
      <c r="DC116" s="28">
        <v>0</v>
      </c>
    </row>
    <row r="117" spans="27:107" ht="20.100000000000001" customHeight="1" thickTop="1">
      <c r="AA117" s="34"/>
      <c r="AB117" s="35"/>
      <c r="AC117" s="35"/>
      <c r="AD117" s="35"/>
      <c r="AE117" s="35"/>
      <c r="AF117" s="35"/>
      <c r="AG117" s="35"/>
      <c r="AH117" s="38"/>
      <c r="AI117" s="39"/>
      <c r="AJ117" s="39"/>
      <c r="AK117" s="39"/>
      <c r="AL117" s="39"/>
      <c r="AM117" s="39"/>
      <c r="AN117" s="39"/>
      <c r="AO117" s="39"/>
      <c r="AP117" s="39"/>
      <c r="AQ117" s="39"/>
      <c r="AR117" s="40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8"/>
      <c r="BJ117" s="39"/>
      <c r="BK117" s="39"/>
      <c r="BL117" s="39"/>
      <c r="BM117" s="39"/>
      <c r="BN117" s="39"/>
      <c r="BO117" s="39"/>
      <c r="BP117" s="39"/>
      <c r="BQ117" s="39"/>
      <c r="BR117" s="39"/>
      <c r="BS117" s="40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  <c r="CY117" s="12" t="s">
        <v>24</v>
      </c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41"/>
      <c r="AI118" s="42"/>
      <c r="AJ118" s="42"/>
      <c r="AK118" s="42"/>
      <c r="AL118" s="42"/>
      <c r="AM118" s="42"/>
      <c r="AN118" s="42"/>
      <c r="AO118" s="42"/>
      <c r="AP118" s="42"/>
      <c r="AQ118" s="42"/>
      <c r="AR118" s="43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41"/>
      <c r="BJ118" s="42"/>
      <c r="BK118" s="42"/>
      <c r="BL118" s="42"/>
      <c r="BM118" s="42"/>
      <c r="BN118" s="42"/>
      <c r="BO118" s="42"/>
      <c r="BP118" s="42"/>
      <c r="BQ118" s="42"/>
      <c r="BR118" s="42"/>
      <c r="BS118" s="43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  <c r="CY118" s="13" t="s">
        <v>25</v>
      </c>
    </row>
    <row r="119" spans="27:107" ht="20.100000000000001" customHeigh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4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6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4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6"/>
      <c r="CL120" s="35"/>
      <c r="CM120" s="35"/>
      <c r="CN120" s="35"/>
      <c r="CO120" s="35"/>
      <c r="CP120" s="35"/>
      <c r="CQ120" s="37"/>
      <c r="CR120" s="37"/>
      <c r="CS120" s="37"/>
      <c r="CT120" s="37"/>
      <c r="CU120" s="37"/>
      <c r="CV120" s="37"/>
      <c r="CW120" s="37"/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47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9"/>
      <c r="CL121" s="35"/>
      <c r="CM121" s="35"/>
      <c r="CN121" s="35"/>
      <c r="CO121" s="35"/>
      <c r="CP121" s="35"/>
      <c r="CQ121" s="37"/>
      <c r="CR121" s="37"/>
      <c r="CS121" s="37"/>
      <c r="CT121" s="37"/>
      <c r="CU121" s="37"/>
      <c r="CV121" s="37"/>
      <c r="CW121" s="37"/>
    </row>
    <row r="122" spans="27:107" ht="20.100000000000001" customHeight="1">
      <c r="AA122" s="31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3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3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0" t="s">
        <v>48</v>
      </c>
    </row>
    <row r="123" spans="27:107" ht="20.100000000000001" customHeight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69" t="s">
        <v>37</v>
      </c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11" t="s">
        <v>23</v>
      </c>
    </row>
    <row r="124" spans="27:107" ht="20.100000000000001" customHeight="1" thickTop="1" thickBot="1">
      <c r="AA124" s="34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6"/>
      <c r="BY124" s="37"/>
      <c r="BZ124" s="37"/>
      <c r="CA124" s="70" t="s">
        <v>38</v>
      </c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310">
        <f>DC124</f>
        <v>0</v>
      </c>
      <c r="CZ124" s="311"/>
      <c r="DA124" s="311"/>
      <c r="DB124" s="312"/>
      <c r="DC124" s="28">
        <f t="array" ref="DC124:DC125">TRANSPOSE(TotalUnitsAndWeightsSum(DECK2))</f>
        <v>0</v>
      </c>
    </row>
    <row r="125" spans="27:107" ht="20.100000000000001" customHeight="1" thickTop="1" thickBot="1">
      <c r="AA125" s="34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5"/>
      <c r="CM125" s="35"/>
      <c r="CN125" s="35"/>
      <c r="CO125" s="35"/>
      <c r="CP125" s="35"/>
      <c r="CY125" s="294">
        <f>DC125</f>
        <v>0</v>
      </c>
      <c r="CZ125" s="295"/>
      <c r="DA125" s="295"/>
      <c r="DB125" s="296"/>
      <c r="DC125" s="28">
        <v>0</v>
      </c>
    </row>
    <row r="126" spans="27:107" ht="20.100000000000001" customHeight="1" thickTop="1">
      <c r="AA126" s="34"/>
      <c r="AB126" s="35"/>
      <c r="AC126" s="35"/>
      <c r="AD126" s="35"/>
      <c r="AE126" s="35"/>
      <c r="AF126" s="35"/>
      <c r="AG126" s="35"/>
      <c r="AH126" s="38"/>
      <c r="AI126" s="39"/>
      <c r="AJ126" s="39"/>
      <c r="AK126" s="39"/>
      <c r="AL126" s="39"/>
      <c r="AM126" s="39"/>
      <c r="AN126" s="39"/>
      <c r="AO126" s="39"/>
      <c r="AP126" s="39"/>
      <c r="AQ126" s="39"/>
      <c r="AR126" s="40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8"/>
      <c r="BJ126" s="39"/>
      <c r="BK126" s="39"/>
      <c r="BL126" s="39"/>
      <c r="BM126" s="39"/>
      <c r="BN126" s="39"/>
      <c r="BO126" s="39"/>
      <c r="BP126" s="39"/>
      <c r="BQ126" s="39"/>
      <c r="BR126" s="39"/>
      <c r="BS126" s="40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5"/>
      <c r="CM126" s="35"/>
      <c r="CN126" s="35"/>
      <c r="CO126" s="35"/>
      <c r="CP126" s="35"/>
      <c r="CY126" s="12" t="s">
        <v>24</v>
      </c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41"/>
      <c r="AI127" s="42"/>
      <c r="AJ127" s="42"/>
      <c r="AK127" s="42"/>
      <c r="AL127" s="42"/>
      <c r="AM127" s="42"/>
      <c r="AN127" s="42"/>
      <c r="AO127" s="42"/>
      <c r="AP127" s="42"/>
      <c r="AQ127" s="42"/>
      <c r="AR127" s="43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41"/>
      <c r="BJ127" s="42"/>
      <c r="BK127" s="42"/>
      <c r="BL127" s="42"/>
      <c r="BM127" s="42"/>
      <c r="BN127" s="42"/>
      <c r="BO127" s="42"/>
      <c r="BP127" s="42"/>
      <c r="BQ127" s="42"/>
      <c r="BR127" s="42"/>
      <c r="BS127" s="43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Y127" s="13" t="s">
        <v>25</v>
      </c>
    </row>
    <row r="128" spans="27:107" ht="20.100000000000001" customHeigh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</row>
    <row r="131" spans="5:107" ht="20.100000000000001" customHeight="1">
      <c r="AA131" s="31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3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3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0" t="s">
        <v>52</v>
      </c>
    </row>
    <row r="132" spans="5:107" ht="20.100000000000001" customHeight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11" t="s">
        <v>4</v>
      </c>
    </row>
    <row r="133" spans="5:107" ht="20.100000000000001" customHeight="1" thickTop="1" thickBot="1">
      <c r="AA133" s="34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310">
        <f>DC133</f>
        <v>0</v>
      </c>
      <c r="CZ133" s="311"/>
      <c r="DA133" s="311"/>
      <c r="DB133" s="312"/>
      <c r="DC133" s="28">
        <f t="array" ref="DC133:DC134">TRANSPOSE(TotalUnitsAndWeightsSum(DECK1))</f>
        <v>0</v>
      </c>
    </row>
    <row r="134" spans="5:107" ht="20.100000000000001" customHeight="1" thickTop="1" thickBot="1">
      <c r="AA134" s="34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294">
        <f>DC134</f>
        <v>0</v>
      </c>
      <c r="CZ134" s="295"/>
      <c r="DA134" s="295"/>
      <c r="DB134" s="296"/>
      <c r="DC134" s="28">
        <v>0</v>
      </c>
    </row>
    <row r="135" spans="5:107" ht="20.100000000000001" customHeight="1" thickTop="1">
      <c r="AA135" s="34"/>
      <c r="AB135" s="35"/>
      <c r="AC135" s="35"/>
      <c r="AD135" s="35"/>
      <c r="AE135" s="35"/>
      <c r="AF135" s="35"/>
      <c r="AG135" s="35"/>
      <c r="AH135" s="38"/>
      <c r="AI135" s="39"/>
      <c r="AJ135" s="39"/>
      <c r="AK135" s="39"/>
      <c r="AL135" s="39"/>
      <c r="AM135" s="39"/>
      <c r="AN135" s="39"/>
      <c r="AO135" s="39"/>
      <c r="AP135" s="39"/>
      <c r="AQ135" s="39"/>
      <c r="AR135" s="40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8"/>
      <c r="BJ135" s="39"/>
      <c r="BK135" s="39"/>
      <c r="BL135" s="39"/>
      <c r="BM135" s="39"/>
      <c r="BN135" s="39"/>
      <c r="BO135" s="39"/>
      <c r="BP135" s="39"/>
      <c r="BQ135" s="39"/>
      <c r="BR135" s="39"/>
      <c r="BS135" s="40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Y135" s="12" t="s">
        <v>21</v>
      </c>
    </row>
    <row r="136" spans="5:107" ht="20.100000000000001" customHeight="1">
      <c r="AA136" s="34"/>
      <c r="AB136" s="35"/>
      <c r="AC136" s="35"/>
      <c r="AD136" s="35"/>
      <c r="AE136" s="35"/>
      <c r="AF136" s="35"/>
      <c r="AG136" s="35"/>
      <c r="AH136" s="41"/>
      <c r="AI136" s="42"/>
      <c r="AJ136" s="42"/>
      <c r="AK136" s="42"/>
      <c r="AL136" s="42"/>
      <c r="AM136" s="42"/>
      <c r="AN136" s="42"/>
      <c r="AO136" s="42"/>
      <c r="AP136" s="42"/>
      <c r="AQ136" s="42"/>
      <c r="AR136" s="43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41"/>
      <c r="BJ136" s="42"/>
      <c r="BK136" s="42"/>
      <c r="BL136" s="42"/>
      <c r="BM136" s="42"/>
      <c r="BN136" s="42"/>
      <c r="BO136" s="42"/>
      <c r="BP136" s="42"/>
      <c r="BQ136" s="42"/>
      <c r="BR136" s="42"/>
      <c r="BS136" s="43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Y136" s="13" t="s">
        <v>22</v>
      </c>
    </row>
    <row r="137" spans="5:107" ht="20.100000000000001" customHeight="1">
      <c r="AA137" s="34"/>
      <c r="AB137" s="35"/>
      <c r="AC137" s="35"/>
      <c r="AD137" s="35"/>
      <c r="AE137" s="35"/>
      <c r="AF137" s="35"/>
      <c r="AG137" s="35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5"/>
      <c r="AT137" s="35"/>
      <c r="AU137" s="35"/>
      <c r="AV137" s="35"/>
      <c r="AW137" s="35"/>
      <c r="AX137" s="35"/>
      <c r="AY137" s="35"/>
      <c r="AZ137" s="35"/>
      <c r="BA137" s="35"/>
      <c r="BB137" s="36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6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</row>
    <row r="138" spans="5:107" ht="20.100000000000001" customHeight="1" thickBot="1">
      <c r="AA138" s="34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6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6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</row>
    <row r="139" spans="5:107" ht="20.100000000000001" customHeight="1" thickTop="1" thickBot="1">
      <c r="AA139" s="47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9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Q139" s="48"/>
      <c r="BR139" s="48"/>
      <c r="BS139" s="48"/>
      <c r="BT139" s="48"/>
      <c r="BU139" s="48"/>
      <c r="BV139" s="48"/>
      <c r="BW139" s="48"/>
      <c r="BX139" s="49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T139" s="435" t="s">
        <v>55</v>
      </c>
      <c r="CU139" s="436"/>
      <c r="CV139" s="436"/>
      <c r="CW139" s="436"/>
      <c r="CX139" s="436"/>
      <c r="CY139" s="436"/>
      <c r="CZ139" s="436"/>
      <c r="DA139" s="436"/>
      <c r="DB139" s="437"/>
    </row>
    <row r="140" spans="5:107" ht="20.100000000000001" customHeight="1" thickTop="1" thickBot="1">
      <c r="CR140" s="2"/>
      <c r="CT140" s="426">
        <f>SUM(K142,AM142,BL142,CG142)</f>
        <v>649</v>
      </c>
      <c r="CU140" s="427"/>
      <c r="CV140" s="427"/>
      <c r="CW140" s="427"/>
      <c r="CX140" s="427"/>
      <c r="CY140" s="427"/>
      <c r="CZ140" s="427"/>
      <c r="DA140" s="427"/>
      <c r="DB140" s="428"/>
    </row>
    <row r="141" spans="5:107" ht="20.100000000000001" customHeight="1" thickTop="1" thickBot="1">
      <c r="K141" s="383" t="s">
        <v>36</v>
      </c>
      <c r="L141" s="384"/>
      <c r="M141" s="384"/>
      <c r="N141" s="384"/>
      <c r="O141" s="385"/>
      <c r="AM141" s="383" t="s">
        <v>53</v>
      </c>
      <c r="AN141" s="384"/>
      <c r="AO141" s="384"/>
      <c r="AP141" s="384"/>
      <c r="AQ141" s="385"/>
      <c r="BL141" s="383" t="s">
        <v>39</v>
      </c>
      <c r="BM141" s="384"/>
      <c r="BN141" s="384"/>
      <c r="BO141" s="384"/>
      <c r="BP141" s="385"/>
      <c r="CG141" s="383" t="s">
        <v>54</v>
      </c>
      <c r="CH141" s="384"/>
      <c r="CI141" s="384"/>
      <c r="CJ141" s="384"/>
      <c r="CK141" s="385"/>
      <c r="CR141" s="4"/>
      <c r="CT141" s="429">
        <f>SUM(K143,AM143,BL143,CG143)</f>
        <v>1387.4</v>
      </c>
      <c r="CU141" s="430"/>
      <c r="CV141" s="430"/>
      <c r="CW141" s="430"/>
      <c r="CX141" s="430"/>
      <c r="CY141" s="430"/>
      <c r="CZ141" s="430"/>
      <c r="DA141" s="430"/>
      <c r="DB141" s="431"/>
    </row>
    <row r="142" spans="5:107" ht="20.100000000000001" customHeight="1" thickTop="1" thickBot="1">
      <c r="K142" s="386">
        <f>P142</f>
        <v>178</v>
      </c>
      <c r="L142" s="387"/>
      <c r="M142" s="387"/>
      <c r="N142" s="387"/>
      <c r="O142" s="388"/>
      <c r="P142" s="28">
        <f t="array" ref="P142:P143">TRANSPOSE(TotalUnitsAndWeightsSum(HOLD4))</f>
        <v>178</v>
      </c>
      <c r="AM142" s="386">
        <f>AR142</f>
        <v>247</v>
      </c>
      <c r="AN142" s="387"/>
      <c r="AO142" s="387"/>
      <c r="AP142" s="387"/>
      <c r="AQ142" s="388"/>
      <c r="AR142" s="28">
        <f t="array" ref="AR142:AR143">TRANSPOSE(TotalUnitsAndWeightsSum(HOLD3))</f>
        <v>247</v>
      </c>
      <c r="BL142" s="386">
        <f>BQ142</f>
        <v>179</v>
      </c>
      <c r="BM142" s="387"/>
      <c r="BN142" s="387"/>
      <c r="BO142" s="387"/>
      <c r="BP142" s="388"/>
      <c r="BQ142" s="28">
        <f t="array" ref="BQ142:BQ143">TRANSPOSE(TotalUnitsAndWeightsSum(HOLD2))</f>
        <v>179</v>
      </c>
      <c r="CG142" s="386">
        <f>CL142</f>
        <v>45</v>
      </c>
      <c r="CH142" s="387"/>
      <c r="CI142" s="387"/>
      <c r="CJ142" s="387"/>
      <c r="CK142" s="388"/>
      <c r="CL142" s="28">
        <f t="array" ref="CL142:CL143">TRANSPOSE(TotalUnitsAndWeightsSum(HOLD1))</f>
        <v>45</v>
      </c>
      <c r="CR142" s="5"/>
      <c r="CT142" s="432">
        <f>CS26</f>
        <v>55</v>
      </c>
      <c r="CU142" s="433"/>
      <c r="CV142" s="433"/>
      <c r="CW142" s="433"/>
      <c r="CX142" s="433"/>
      <c r="CY142" s="433"/>
      <c r="CZ142" s="433"/>
      <c r="DA142" s="433"/>
      <c r="DB142" s="434"/>
    </row>
    <row r="143" spans="5:107" ht="20.100000000000001" customHeight="1" thickTop="1" thickBot="1">
      <c r="E143" s="29"/>
      <c r="F143" s="29"/>
      <c r="G143" s="30"/>
      <c r="H143" s="29"/>
      <c r="K143" s="377">
        <f>P143</f>
        <v>446.1</v>
      </c>
      <c r="L143" s="378"/>
      <c r="M143" s="378"/>
      <c r="N143" s="378"/>
      <c r="O143" s="379"/>
      <c r="P143" s="28">
        <v>446.1</v>
      </c>
      <c r="V143" s="29"/>
      <c r="W143" s="29"/>
      <c r="X143" s="29"/>
      <c r="Y143" s="29"/>
      <c r="AM143" s="377">
        <f>AR143</f>
        <v>770.8</v>
      </c>
      <c r="AN143" s="378"/>
      <c r="AO143" s="378"/>
      <c r="AP143" s="378"/>
      <c r="AQ143" s="379"/>
      <c r="AR143" s="28">
        <v>770.8</v>
      </c>
      <c r="BL143" s="377">
        <f>BQ143</f>
        <v>158.19999999999999</v>
      </c>
      <c r="BM143" s="378"/>
      <c r="BN143" s="378"/>
      <c r="BO143" s="378"/>
      <c r="BP143" s="379"/>
      <c r="BQ143" s="28">
        <v>158.19999999999999</v>
      </c>
      <c r="CG143" s="377">
        <f>CL143</f>
        <v>12.3</v>
      </c>
      <c r="CH143" s="378"/>
      <c r="CI143" s="378"/>
      <c r="CJ143" s="378"/>
      <c r="CK143" s="379"/>
      <c r="CL143" s="28">
        <v>12.3</v>
      </c>
      <c r="CR143" s="5"/>
      <c r="CT143" s="429">
        <f>CX26</f>
        <v>95.1</v>
      </c>
      <c r="CU143" s="430"/>
      <c r="CV143" s="430"/>
      <c r="CW143" s="430"/>
      <c r="CX143" s="430"/>
      <c r="CY143" s="430"/>
      <c r="CZ143" s="430"/>
      <c r="DA143" s="430"/>
      <c r="DB143" s="431"/>
    </row>
    <row r="144" spans="5:107" ht="20.100000000000001" customHeight="1" thickTop="1"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5:25" ht="20.100000000000001" customHeight="1"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</row>
  </sheetData>
  <mergeCells count="530">
    <mergeCell ref="H42:K42"/>
    <mergeCell ref="H43:K43"/>
    <mergeCell ref="BT11:BX11"/>
    <mergeCell ref="BY14:CC14"/>
    <mergeCell ref="BT13:BX13"/>
    <mergeCell ref="CI11:CM11"/>
    <mergeCell ref="BY11:CC11"/>
    <mergeCell ref="CI15:CM15"/>
    <mergeCell ref="CN15:CR15"/>
    <mergeCell ref="AZ14:BD14"/>
    <mergeCell ref="AZ11:BD11"/>
    <mergeCell ref="BE14:BI14"/>
    <mergeCell ref="AL16:AN16"/>
    <mergeCell ref="AL15:AN15"/>
    <mergeCell ref="AZ15:BD15"/>
    <mergeCell ref="BE13:BI13"/>
    <mergeCell ref="BE12:BI12"/>
    <mergeCell ref="AZ12:BD12"/>
    <mergeCell ref="AO14:AQ14"/>
    <mergeCell ref="AR14:AT14"/>
    <mergeCell ref="AU14:AY14"/>
    <mergeCell ref="AO11:AQ11"/>
    <mergeCell ref="AR11:AT11"/>
    <mergeCell ref="AL13:AN13"/>
    <mergeCell ref="AO13:AQ13"/>
    <mergeCell ref="BE11:BI11"/>
    <mergeCell ref="BJ14:BN14"/>
    <mergeCell ref="BO14:BS14"/>
    <mergeCell ref="BO12:BS12"/>
    <mergeCell ref="BO13:BS13"/>
    <mergeCell ref="BJ13:BN13"/>
    <mergeCell ref="BJ12:BN12"/>
    <mergeCell ref="CX15:DB15"/>
    <mergeCell ref="CN13:CR13"/>
    <mergeCell ref="BY13:CC13"/>
    <mergeCell ref="CS15:CW15"/>
    <mergeCell ref="CD15:CH15"/>
    <mergeCell ref="CX12:DB12"/>
    <mergeCell ref="CX13:DB13"/>
    <mergeCell ref="CS12:CW12"/>
    <mergeCell ref="CI12:CM12"/>
    <mergeCell ref="BY12:CC12"/>
    <mergeCell ref="CN12:CR12"/>
    <mergeCell ref="CD12:CH12"/>
    <mergeCell ref="CX14:DB14"/>
    <mergeCell ref="BO11:BS11"/>
    <mergeCell ref="AR13:AT13"/>
    <mergeCell ref="CN9:CR9"/>
    <mergeCell ref="BY9:CC9"/>
    <mergeCell ref="CI9:CM9"/>
    <mergeCell ref="BT7:BX7"/>
    <mergeCell ref="BY7:CC7"/>
    <mergeCell ref="CN10:CR10"/>
    <mergeCell ref="BE10:BI10"/>
    <mergeCell ref="BT9:BX9"/>
    <mergeCell ref="BY23:CC23"/>
    <mergeCell ref="BT22:BX22"/>
    <mergeCell ref="BO17:BS17"/>
    <mergeCell ref="BJ16:BN16"/>
    <mergeCell ref="BJ15:BN15"/>
    <mergeCell ref="BO15:BS15"/>
    <mergeCell ref="BO16:BS16"/>
    <mergeCell ref="BJ18:BN18"/>
    <mergeCell ref="BY21:CC21"/>
    <mergeCell ref="BT20:BX20"/>
    <mergeCell ref="BJ21:BN21"/>
    <mergeCell ref="BO21:BS21"/>
    <mergeCell ref="BO20:BS20"/>
    <mergeCell ref="CI20:CM20"/>
    <mergeCell ref="BU2:BY2"/>
    <mergeCell ref="BO2:BT2"/>
    <mergeCell ref="BO3:BT3"/>
    <mergeCell ref="BO9:BS9"/>
    <mergeCell ref="BE5:BN6"/>
    <mergeCell ref="BJ9:BN9"/>
    <mergeCell ref="BO10:BS10"/>
    <mergeCell ref="BT12:BX12"/>
    <mergeCell ref="BT14:BX14"/>
    <mergeCell ref="BO7:BS7"/>
    <mergeCell ref="BT10:BX10"/>
    <mergeCell ref="BY10:CC10"/>
    <mergeCell ref="AL2:BM3"/>
    <mergeCell ref="BE7:BI7"/>
    <mergeCell ref="BJ7:BN7"/>
    <mergeCell ref="BJ11:BN11"/>
    <mergeCell ref="AR9:AT9"/>
    <mergeCell ref="Q5:AT6"/>
    <mergeCell ref="Q7:S7"/>
    <mergeCell ref="T7:V7"/>
    <mergeCell ref="AO7:AQ7"/>
    <mergeCell ref="AU5:BD6"/>
    <mergeCell ref="AZ9:BD9"/>
    <mergeCell ref="BE9:BI9"/>
    <mergeCell ref="AZ10:BD10"/>
    <mergeCell ref="Z11:AB11"/>
    <mergeCell ref="AC11:AE11"/>
    <mergeCell ref="AF11:AH11"/>
    <mergeCell ref="AU7:AY7"/>
    <mergeCell ref="AZ7:BD7"/>
    <mergeCell ref="AR7:AT7"/>
    <mergeCell ref="Q10:S10"/>
    <mergeCell ref="AO12:AQ12"/>
    <mergeCell ref="AI12:AK12"/>
    <mergeCell ref="AU12:AY12"/>
    <mergeCell ref="AU11:AY11"/>
    <mergeCell ref="W12:Y12"/>
    <mergeCell ref="AR12:AT12"/>
    <mergeCell ref="W7:Y7"/>
    <mergeCell ref="Z7:AB7"/>
    <mergeCell ref="AC7:AE7"/>
    <mergeCell ref="AF7:AH7"/>
    <mergeCell ref="AI7:AK7"/>
    <mergeCell ref="AF9:AH9"/>
    <mergeCell ref="AR10:AT10"/>
    <mergeCell ref="AL10:AN10"/>
    <mergeCell ref="Z10:AB10"/>
    <mergeCell ref="AL12:AN12"/>
    <mergeCell ref="CG3:CM3"/>
    <mergeCell ref="BU3:CC3"/>
    <mergeCell ref="CN11:CR11"/>
    <mergeCell ref="CD11:CH11"/>
    <mergeCell ref="BO5:BX6"/>
    <mergeCell ref="BY5:CH6"/>
    <mergeCell ref="CI5:DB5"/>
    <mergeCell ref="CI6:CR6"/>
    <mergeCell ref="CS6:DB6"/>
    <mergeCell ref="CX11:DB11"/>
    <mergeCell ref="CS11:CW11"/>
    <mergeCell ref="CD3:CF3"/>
    <mergeCell ref="CI7:CM7"/>
    <mergeCell ref="CS10:CW10"/>
    <mergeCell ref="CD7:CH7"/>
    <mergeCell ref="CI10:CM10"/>
    <mergeCell ref="CX7:DB7"/>
    <mergeCell ref="CX9:DB9"/>
    <mergeCell ref="CN7:CR7"/>
    <mergeCell ref="CS7:CW7"/>
    <mergeCell ref="CX10:DB10"/>
    <mergeCell ref="CS9:CW9"/>
    <mergeCell ref="CD9:CH9"/>
    <mergeCell ref="CD10:CH10"/>
    <mergeCell ref="CX16:DB16"/>
    <mergeCell ref="CD18:CH18"/>
    <mergeCell ref="CI16:CM16"/>
    <mergeCell ref="BT18:BX18"/>
    <mergeCell ref="BY18:CC18"/>
    <mergeCell ref="CN17:CR17"/>
    <mergeCell ref="CN16:CR16"/>
    <mergeCell ref="CS16:CW16"/>
    <mergeCell ref="BY16:CC16"/>
    <mergeCell ref="CX18:DB18"/>
    <mergeCell ref="BT17:BX17"/>
    <mergeCell ref="CN18:CR18"/>
    <mergeCell ref="BY17:CC17"/>
    <mergeCell ref="CS20:CW20"/>
    <mergeCell ref="CS17:CW17"/>
    <mergeCell ref="CI19:CM19"/>
    <mergeCell ref="CX17:DB17"/>
    <mergeCell ref="CX19:DB19"/>
    <mergeCell ref="CX20:DB20"/>
    <mergeCell ref="BJ19:BN19"/>
    <mergeCell ref="CD17:CH17"/>
    <mergeCell ref="CI17:CM17"/>
    <mergeCell ref="BO19:BS19"/>
    <mergeCell ref="CN19:CR19"/>
    <mergeCell ref="CD20:CH20"/>
    <mergeCell ref="CN20:CR20"/>
    <mergeCell ref="BY20:CC20"/>
    <mergeCell ref="AU17:AY17"/>
    <mergeCell ref="CS19:CW19"/>
    <mergeCell ref="CS13:CW13"/>
    <mergeCell ref="CI13:CM13"/>
    <mergeCell ref="CS18:CW18"/>
    <mergeCell ref="CI18:CM18"/>
    <mergeCell ref="BY15:CC15"/>
    <mergeCell ref="CN14:CR14"/>
    <mergeCell ref="CI14:CM14"/>
    <mergeCell ref="CD14:CH14"/>
    <mergeCell ref="BO18:BS18"/>
    <mergeCell ref="CS14:CW14"/>
    <mergeCell ref="AZ19:BD19"/>
    <mergeCell ref="BE19:BI19"/>
    <mergeCell ref="BT19:BX19"/>
    <mergeCell ref="BY19:CC19"/>
    <mergeCell ref="AR16:AT16"/>
    <mergeCell ref="AU13:AY13"/>
    <mergeCell ref="AZ13:BD13"/>
    <mergeCell ref="AR18:AT18"/>
    <mergeCell ref="CD16:CH16"/>
    <mergeCell ref="BT16:BX16"/>
    <mergeCell ref="CD13:CH13"/>
    <mergeCell ref="BT15:BX15"/>
    <mergeCell ref="AO16:AQ16"/>
    <mergeCell ref="BE17:BI17"/>
    <mergeCell ref="AZ18:BD18"/>
    <mergeCell ref="AZ16:BD16"/>
    <mergeCell ref="BE18:BI18"/>
    <mergeCell ref="BE15:BI15"/>
    <mergeCell ref="AU15:AY15"/>
    <mergeCell ref="AU18:AY18"/>
    <mergeCell ref="AU16:AY16"/>
    <mergeCell ref="AO17:AQ17"/>
    <mergeCell ref="AR17:AT17"/>
    <mergeCell ref="AO15:AQ15"/>
    <mergeCell ref="AR15:AT15"/>
    <mergeCell ref="AZ17:BD17"/>
    <mergeCell ref="BE16:BI16"/>
    <mergeCell ref="BJ17:BN17"/>
    <mergeCell ref="AU22:AY22"/>
    <mergeCell ref="AZ23:BD23"/>
    <mergeCell ref="BE22:BI22"/>
    <mergeCell ref="AU25:AY25"/>
    <mergeCell ref="AZ25:BD25"/>
    <mergeCell ref="CH32:CK32"/>
    <mergeCell ref="CI25:DB25"/>
    <mergeCell ref="CX23:DB23"/>
    <mergeCell ref="AU21:AY21"/>
    <mergeCell ref="CN23:CR23"/>
    <mergeCell ref="BE23:BI23"/>
    <mergeCell ref="BC28:BX28"/>
    <mergeCell ref="BY28:CW28"/>
    <mergeCell ref="BT21:BX21"/>
    <mergeCell ref="CX22:DB22"/>
    <mergeCell ref="CD22:CH22"/>
    <mergeCell ref="CS22:CW22"/>
    <mergeCell ref="CX21:DB21"/>
    <mergeCell ref="CS21:CW21"/>
    <mergeCell ref="CD23:CH23"/>
    <mergeCell ref="BE21:BI21"/>
    <mergeCell ref="CI21:CM21"/>
    <mergeCell ref="CN21:CR21"/>
    <mergeCell ref="CD21:CH21"/>
    <mergeCell ref="CX26:DB26"/>
    <mergeCell ref="CY31:DB31"/>
    <mergeCell ref="CY41:DB41"/>
    <mergeCell ref="AO87:AV87"/>
    <mergeCell ref="AO22:AQ22"/>
    <mergeCell ref="BT25:BX25"/>
    <mergeCell ref="BY25:CC25"/>
    <mergeCell ref="BO25:BS25"/>
    <mergeCell ref="AR22:AT22"/>
    <mergeCell ref="CD25:CH25"/>
    <mergeCell ref="CI22:CM22"/>
    <mergeCell ref="CN22:CR22"/>
    <mergeCell ref="BE25:BI25"/>
    <mergeCell ref="BY22:CC22"/>
    <mergeCell ref="CI23:CM23"/>
    <mergeCell ref="CS23:CW23"/>
    <mergeCell ref="BO23:BS23"/>
    <mergeCell ref="BO22:BS22"/>
    <mergeCell ref="BT23:BX23"/>
    <mergeCell ref="CG50:CR51"/>
    <mergeCell ref="CS26:CW26"/>
    <mergeCell ref="BJ23:BN23"/>
    <mergeCell ref="CY70:DB70"/>
    <mergeCell ref="CY87:DB87"/>
    <mergeCell ref="CI26:CM26"/>
    <mergeCell ref="CN26:CR26"/>
    <mergeCell ref="AP26:AT26"/>
    <mergeCell ref="BG33:BJ33"/>
    <mergeCell ref="BG34:BJ34"/>
    <mergeCell ref="BF41:BI41"/>
    <mergeCell ref="AO25:AQ25"/>
    <mergeCell ref="BJ25:BN25"/>
    <mergeCell ref="AR25:AT25"/>
    <mergeCell ref="BP41:BS41"/>
    <mergeCell ref="CY78:DB78"/>
    <mergeCell ref="BL141:BP141"/>
    <mergeCell ref="BL142:BP142"/>
    <mergeCell ref="BL143:BP143"/>
    <mergeCell ref="CG141:CK141"/>
    <mergeCell ref="CG142:CK142"/>
    <mergeCell ref="CG143:CK143"/>
    <mergeCell ref="CY106:DB106"/>
    <mergeCell ref="CY107:DB107"/>
    <mergeCell ref="CT140:DB140"/>
    <mergeCell ref="CT141:DB141"/>
    <mergeCell ref="CT142:DB142"/>
    <mergeCell ref="CY133:DB133"/>
    <mergeCell ref="CY125:DB125"/>
    <mergeCell ref="CT143:DB143"/>
    <mergeCell ref="CT139:DB139"/>
    <mergeCell ref="CY134:DB134"/>
    <mergeCell ref="CY115:DB115"/>
    <mergeCell ref="CY116:DB116"/>
    <mergeCell ref="CY124:DB124"/>
    <mergeCell ref="CY88:DB88"/>
    <mergeCell ref="BI108:BS109"/>
    <mergeCell ref="J83:N83"/>
    <mergeCell ref="J47:N47"/>
    <mergeCell ref="Q22:S22"/>
    <mergeCell ref="B25:P25"/>
    <mergeCell ref="Q25:S25"/>
    <mergeCell ref="J38:N38"/>
    <mergeCell ref="B22:M22"/>
    <mergeCell ref="AC22:AE22"/>
    <mergeCell ref="AF16:AH16"/>
    <mergeCell ref="Q23:S23"/>
    <mergeCell ref="W21:Y21"/>
    <mergeCell ref="Z19:AB19"/>
    <mergeCell ref="T23:V23"/>
    <mergeCell ref="N23:P23"/>
    <mergeCell ref="W23:Y23"/>
    <mergeCell ref="W20:Y20"/>
    <mergeCell ref="W17:Y17"/>
    <mergeCell ref="AF19:AH19"/>
    <mergeCell ref="AF20:AH20"/>
    <mergeCell ref="B18:M18"/>
    <mergeCell ref="N16:P16"/>
    <mergeCell ref="N17:P17"/>
    <mergeCell ref="B21:M21"/>
    <mergeCell ref="Z21:AB21"/>
    <mergeCell ref="V103:X103"/>
    <mergeCell ref="T92:Z92"/>
    <mergeCell ref="AA92:AK92"/>
    <mergeCell ref="AA103:AI103"/>
    <mergeCell ref="Y102:Z103"/>
    <mergeCell ref="CY96:DB96"/>
    <mergeCell ref="AH108:AR109"/>
    <mergeCell ref="AD106:AG106"/>
    <mergeCell ref="AV107:AY107"/>
    <mergeCell ref="BH95:BN97"/>
    <mergeCell ref="AC95:AK97"/>
    <mergeCell ref="CY97:DB97"/>
    <mergeCell ref="AV108:AY108"/>
    <mergeCell ref="K143:O143"/>
    <mergeCell ref="J92:P93"/>
    <mergeCell ref="K141:O141"/>
    <mergeCell ref="K142:O142"/>
    <mergeCell ref="AL17:AN17"/>
    <mergeCell ref="AD107:AG107"/>
    <mergeCell ref="AC23:AE23"/>
    <mergeCell ref="AF13:AH13"/>
    <mergeCell ref="AI23:AK23"/>
    <mergeCell ref="AL23:AN23"/>
    <mergeCell ref="AM141:AQ141"/>
    <mergeCell ref="AM142:AQ142"/>
    <mergeCell ref="AM143:AQ143"/>
    <mergeCell ref="AC25:AE25"/>
    <mergeCell ref="AC33:AF33"/>
    <mergeCell ref="AC34:AF34"/>
    <mergeCell ref="J74:N74"/>
    <mergeCell ref="N22:P22"/>
    <mergeCell ref="T25:V25"/>
    <mergeCell ref="W25:Y25"/>
    <mergeCell ref="P40:S40"/>
    <mergeCell ref="T17:V17"/>
    <mergeCell ref="B23:M23"/>
    <mergeCell ref="AC17:AE17"/>
    <mergeCell ref="N7:P7"/>
    <mergeCell ref="BJ10:BN10"/>
    <mergeCell ref="AF10:AH10"/>
    <mergeCell ref="AI10:AK10"/>
    <mergeCell ref="B5:P6"/>
    <mergeCell ref="B7:M7"/>
    <mergeCell ref="AL7:AN7"/>
    <mergeCell ref="AL9:AN9"/>
    <mergeCell ref="N9:P9"/>
    <mergeCell ref="T9:V9"/>
    <mergeCell ref="AO9:AQ9"/>
    <mergeCell ref="W9:Y9"/>
    <mergeCell ref="Z9:AB9"/>
    <mergeCell ref="AC9:AE9"/>
    <mergeCell ref="N10:P10"/>
    <mergeCell ref="AU9:AY9"/>
    <mergeCell ref="Q9:S9"/>
    <mergeCell ref="AC10:AE10"/>
    <mergeCell ref="AI9:AK9"/>
    <mergeCell ref="W10:Y10"/>
    <mergeCell ref="AO10:AQ10"/>
    <mergeCell ref="AU10:AY10"/>
    <mergeCell ref="B10:M10"/>
    <mergeCell ref="T10:V10"/>
    <mergeCell ref="N18:P18"/>
    <mergeCell ref="Q15:S15"/>
    <mergeCell ref="Z17:AB17"/>
    <mergeCell ref="AC16:AE16"/>
    <mergeCell ref="AF17:AH17"/>
    <mergeCell ref="B9:M9"/>
    <mergeCell ref="B11:M11"/>
    <mergeCell ref="AI15:AK15"/>
    <mergeCell ref="AC12:AE12"/>
    <mergeCell ref="Z12:AB12"/>
    <mergeCell ref="W11:Y11"/>
    <mergeCell ref="T11:V11"/>
    <mergeCell ref="Z15:AB15"/>
    <mergeCell ref="AC15:AE15"/>
    <mergeCell ref="AF15:AH15"/>
    <mergeCell ref="Q13:S13"/>
    <mergeCell ref="AF14:AH14"/>
    <mergeCell ref="AI14:AK14"/>
    <mergeCell ref="T14:V14"/>
    <mergeCell ref="AI11:AK11"/>
    <mergeCell ref="N12:P12"/>
    <mergeCell ref="N11:P11"/>
    <mergeCell ref="Q14:S14"/>
    <mergeCell ref="Q11:S11"/>
    <mergeCell ref="AI17:AK17"/>
    <mergeCell ref="Q17:S17"/>
    <mergeCell ref="AL11:AN11"/>
    <mergeCell ref="B12:M12"/>
    <mergeCell ref="AF12:AH12"/>
    <mergeCell ref="N15:P15"/>
    <mergeCell ref="W15:Y15"/>
    <mergeCell ref="N14:P14"/>
    <mergeCell ref="AC13:AE13"/>
    <mergeCell ref="W13:Y13"/>
    <mergeCell ref="Z13:AB13"/>
    <mergeCell ref="W14:Y14"/>
    <mergeCell ref="B15:M15"/>
    <mergeCell ref="Q12:S12"/>
    <mergeCell ref="AC14:AE14"/>
    <mergeCell ref="Q16:S16"/>
    <mergeCell ref="T12:V12"/>
    <mergeCell ref="AI13:AK13"/>
    <mergeCell ref="AL14:AN14"/>
    <mergeCell ref="AI16:AK16"/>
    <mergeCell ref="DC83:DE83"/>
    <mergeCell ref="CY32:DB32"/>
    <mergeCell ref="CY65:DB65"/>
    <mergeCell ref="AL59:AV60"/>
    <mergeCell ref="AO76:AV76"/>
    <mergeCell ref="AF76:AN77"/>
    <mergeCell ref="BY68:CJ69"/>
    <mergeCell ref="BY31:CB31"/>
    <mergeCell ref="BY32:CB32"/>
    <mergeCell ref="BY34:CB34"/>
    <mergeCell ref="BY35:CB35"/>
    <mergeCell ref="CH31:CK31"/>
    <mergeCell ref="BH77:BX78"/>
    <mergeCell ref="BY77:CA78"/>
    <mergeCell ref="CY59:DB59"/>
    <mergeCell ref="CY69:DB69"/>
    <mergeCell ref="CY49:DB49"/>
    <mergeCell ref="CY50:DB50"/>
    <mergeCell ref="CY58:DB58"/>
    <mergeCell ref="DC65:DE65"/>
    <mergeCell ref="AN68:AV68"/>
    <mergeCell ref="CY83:DB83"/>
    <mergeCell ref="CY79:DB79"/>
    <mergeCell ref="CY40:DB40"/>
    <mergeCell ref="Z22:AB22"/>
    <mergeCell ref="AF23:AH23"/>
    <mergeCell ref="AF22:AH22"/>
    <mergeCell ref="W19:Y19"/>
    <mergeCell ref="T21:V21"/>
    <mergeCell ref="B13:M13"/>
    <mergeCell ref="T13:V13"/>
    <mergeCell ref="N21:P21"/>
    <mergeCell ref="N13:P13"/>
    <mergeCell ref="N20:P20"/>
    <mergeCell ref="Z20:AB20"/>
    <mergeCell ref="T19:V19"/>
    <mergeCell ref="B14:M14"/>
    <mergeCell ref="T16:V16"/>
    <mergeCell ref="W16:Y16"/>
    <mergeCell ref="Z14:AB14"/>
    <mergeCell ref="T15:V15"/>
    <mergeCell ref="B19:M19"/>
    <mergeCell ref="N19:P19"/>
    <mergeCell ref="Q19:S19"/>
    <mergeCell ref="B16:M16"/>
    <mergeCell ref="B17:M17"/>
    <mergeCell ref="Z16:AB16"/>
    <mergeCell ref="T18:V18"/>
    <mergeCell ref="G74:I74"/>
    <mergeCell ref="AI22:AK22"/>
    <mergeCell ref="AZ22:BD22"/>
    <mergeCell ref="Z23:AB23"/>
    <mergeCell ref="AZ21:BD21"/>
    <mergeCell ref="P41:S41"/>
    <mergeCell ref="B28:Z28"/>
    <mergeCell ref="AR20:AT20"/>
    <mergeCell ref="B20:M20"/>
    <mergeCell ref="T20:V20"/>
    <mergeCell ref="AL20:AN20"/>
    <mergeCell ref="AC39:AE39"/>
    <mergeCell ref="J34:M34"/>
    <mergeCell ref="AL22:AN22"/>
    <mergeCell ref="J65:N65"/>
    <mergeCell ref="J56:N56"/>
    <mergeCell ref="AR21:AT21"/>
    <mergeCell ref="Z25:AB25"/>
    <mergeCell ref="AL21:AN21"/>
    <mergeCell ref="AO21:AQ21"/>
    <mergeCell ref="J33:M33"/>
    <mergeCell ref="AA28:BB28"/>
    <mergeCell ref="T22:V22"/>
    <mergeCell ref="W22:Y22"/>
    <mergeCell ref="AO20:AQ20"/>
    <mergeCell ref="AI19:AK19"/>
    <mergeCell ref="AC20:AE20"/>
    <mergeCell ref="Q21:S21"/>
    <mergeCell ref="AI20:AK20"/>
    <mergeCell ref="AI18:AK18"/>
    <mergeCell ref="AC21:AE21"/>
    <mergeCell ref="Q20:S20"/>
    <mergeCell ref="AF21:AH21"/>
    <mergeCell ref="AI21:AK21"/>
    <mergeCell ref="AL18:AN18"/>
    <mergeCell ref="W18:Y18"/>
    <mergeCell ref="AO18:AQ18"/>
    <mergeCell ref="Z18:AB18"/>
    <mergeCell ref="AC18:AE18"/>
    <mergeCell ref="AF18:AH18"/>
    <mergeCell ref="Q18:S18"/>
    <mergeCell ref="AZ20:BD20"/>
    <mergeCell ref="BE20:BI20"/>
    <mergeCell ref="AU20:AY20"/>
    <mergeCell ref="AU19:AY19"/>
    <mergeCell ref="AE43:AG43"/>
    <mergeCell ref="AE44:AG44"/>
    <mergeCell ref="BP42:BS42"/>
    <mergeCell ref="CA40:CD40"/>
    <mergeCell ref="CA41:CD41"/>
    <mergeCell ref="AC40:AE40"/>
    <mergeCell ref="AL19:AN19"/>
    <mergeCell ref="AO19:AQ19"/>
    <mergeCell ref="AR19:AT19"/>
    <mergeCell ref="AC19:AE19"/>
    <mergeCell ref="BJ22:BN22"/>
    <mergeCell ref="BJ20:BN20"/>
    <mergeCell ref="AF25:AH25"/>
    <mergeCell ref="AI25:AK25"/>
    <mergeCell ref="AL25:AN25"/>
    <mergeCell ref="AU23:AY23"/>
    <mergeCell ref="AR23:AT23"/>
    <mergeCell ref="AO23:AQ23"/>
    <mergeCell ref="BF40:BI40"/>
    <mergeCell ref="CD19:CH19"/>
  </mergeCells>
  <pageMargins left="0.19" right="0.01" top="0.05" bottom="0.08" header="0.03" footer="0.1"/>
  <pageSetup paperSize="8" scale="4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48"/>
  <sheetViews>
    <sheetView showGridLines="0" zoomScaleNormal="100" zoomScaleSheetLayoutView="85" workbookViewId="0">
      <selection activeCell="O5" sqref="O5"/>
    </sheetView>
  </sheetViews>
  <sheetFormatPr defaultRowHeight="15"/>
  <cols>
    <col min="1" max="1" width="1.7109375" customWidth="1"/>
    <col min="7" max="7" width="7" customWidth="1"/>
    <col min="8" max="8" width="10.7109375" customWidth="1"/>
    <col min="13" max="13" width="12" customWidth="1"/>
    <col min="14" max="14" width="9.140625" customWidth="1"/>
    <col min="15" max="15" width="9.85546875" customWidth="1"/>
    <col min="16" max="16" width="10.85546875" customWidth="1"/>
    <col min="18" max="18" width="7.7109375" customWidth="1"/>
    <col min="21" max="21" width="5.28515625" customWidth="1"/>
    <col min="22" max="22" width="6.5703125" customWidth="1"/>
    <col min="26" max="26" width="5.42578125" customWidth="1"/>
  </cols>
  <sheetData>
    <row r="1" spans="1:12">
      <c r="A1" s="195"/>
    </row>
    <row r="2" spans="1:12">
      <c r="B2" t="s">
        <v>108</v>
      </c>
    </row>
    <row r="3" spans="1:12" s="195" customFormat="1">
      <c r="B3" s="197" t="s">
        <v>90</v>
      </c>
      <c r="C3" s="196" t="s">
        <v>109</v>
      </c>
      <c r="D3" s="198" t="s">
        <v>93</v>
      </c>
      <c r="E3" s="196" t="s">
        <v>109</v>
      </c>
      <c r="F3" s="199" t="s">
        <v>57</v>
      </c>
      <c r="G3" s="196" t="s">
        <v>109</v>
      </c>
      <c r="H3" s="200" t="s">
        <v>95</v>
      </c>
      <c r="I3" s="196" t="s">
        <v>109</v>
      </c>
      <c r="J3" s="203" t="s">
        <v>97</v>
      </c>
      <c r="K3" s="201"/>
      <c r="L3" s="202"/>
    </row>
    <row r="35" spans="2:26" ht="15.75" thickBot="1"/>
    <row r="36" spans="2:26" ht="16.5" thickTop="1" thickBot="1">
      <c r="B36" s="623" t="s">
        <v>59</v>
      </c>
      <c r="C36" s="624"/>
      <c r="D36" s="624"/>
      <c r="E36" s="624"/>
      <c r="F36" s="624"/>
      <c r="G36" s="624"/>
      <c r="H36" s="625"/>
      <c r="I36" s="623" t="s">
        <v>60</v>
      </c>
      <c r="J36" s="624"/>
      <c r="K36" s="624"/>
      <c r="L36" s="624"/>
      <c r="M36" s="624"/>
      <c r="N36" s="624"/>
      <c r="O36" s="625"/>
      <c r="P36" s="620" t="s">
        <v>61</v>
      </c>
      <c r="Q36" s="621"/>
      <c r="R36" s="621"/>
      <c r="S36" s="621"/>
      <c r="T36" s="621"/>
      <c r="U36" s="622"/>
      <c r="V36" s="620" t="s">
        <v>62</v>
      </c>
      <c r="W36" s="621"/>
      <c r="X36" s="621"/>
      <c r="Y36" s="621"/>
      <c r="Z36" s="622"/>
    </row>
    <row r="37" spans="2:26" ht="15.75" thickTop="1">
      <c r="B37" s="88"/>
      <c r="C37" s="89"/>
      <c r="D37" s="90"/>
      <c r="E37" s="90"/>
      <c r="F37" s="89"/>
      <c r="H37" s="91"/>
      <c r="I37" s="92"/>
      <c r="K37" s="90"/>
      <c r="L37" s="90"/>
      <c r="M37" s="89"/>
      <c r="N37" s="93"/>
      <c r="O37" s="94"/>
      <c r="P37" s="95"/>
      <c r="R37" s="90"/>
      <c r="S37" s="89"/>
      <c r="T37" s="93"/>
      <c r="U37" s="94"/>
      <c r="V37" s="95"/>
      <c r="X37" s="90"/>
      <c r="Y37" s="89"/>
      <c r="Z37" s="91"/>
    </row>
    <row r="38" spans="2:26">
      <c r="B38" s="88"/>
      <c r="C38" s="96"/>
      <c r="D38" s="97"/>
      <c r="E38" s="97"/>
      <c r="F38" s="97"/>
      <c r="H38" s="98"/>
      <c r="I38" s="88"/>
      <c r="K38" s="96"/>
      <c r="L38" s="97"/>
      <c r="M38" s="99"/>
      <c r="N38" s="93"/>
      <c r="O38" s="100"/>
      <c r="P38" s="88"/>
      <c r="R38" s="96"/>
      <c r="S38" s="99"/>
      <c r="T38" s="93"/>
      <c r="U38" s="100"/>
      <c r="V38" s="88"/>
      <c r="X38" s="96"/>
      <c r="Y38" s="99"/>
      <c r="Z38" s="91"/>
    </row>
    <row r="39" spans="2:26">
      <c r="B39" s="88"/>
      <c r="C39" s="101"/>
      <c r="D39" s="102"/>
      <c r="E39" s="102"/>
      <c r="F39" s="99"/>
      <c r="H39" s="91"/>
      <c r="I39" s="88"/>
      <c r="K39" s="96"/>
      <c r="L39" s="97"/>
      <c r="M39" s="99"/>
      <c r="N39" s="93"/>
      <c r="O39" s="100"/>
      <c r="P39" s="88"/>
      <c r="R39" s="96"/>
      <c r="S39" s="99"/>
      <c r="T39" s="93"/>
      <c r="U39" s="100"/>
      <c r="V39" s="88"/>
      <c r="X39" s="97"/>
      <c r="Y39" s="99"/>
      <c r="Z39" s="91"/>
    </row>
    <row r="40" spans="2:26">
      <c r="B40" s="88"/>
      <c r="C40" s="101"/>
      <c r="D40" s="97"/>
      <c r="E40" s="97"/>
      <c r="F40" s="99"/>
      <c r="H40" s="91"/>
      <c r="I40" s="88"/>
      <c r="K40" s="96"/>
      <c r="L40" s="97"/>
      <c r="M40" s="99"/>
      <c r="N40" s="93"/>
      <c r="O40" s="100"/>
      <c r="P40" s="88"/>
      <c r="R40" s="96"/>
      <c r="S40" s="99"/>
      <c r="T40" s="93"/>
      <c r="U40" s="100"/>
      <c r="V40" s="88"/>
      <c r="X40" s="97"/>
      <c r="Y40" s="99"/>
      <c r="Z40" s="91"/>
    </row>
    <row r="41" spans="2:26">
      <c r="B41" s="88"/>
      <c r="C41" s="101"/>
      <c r="D41" s="97"/>
      <c r="E41" s="97"/>
      <c r="F41" s="99"/>
      <c r="H41" s="91"/>
      <c r="I41" s="88"/>
      <c r="K41" s="97"/>
      <c r="L41" s="97"/>
      <c r="M41" s="99"/>
      <c r="N41" s="93"/>
      <c r="O41" s="100"/>
      <c r="P41" s="88"/>
      <c r="R41" s="96"/>
      <c r="S41" s="99"/>
      <c r="T41" s="93"/>
      <c r="U41" s="100"/>
      <c r="V41" s="88"/>
      <c r="X41" s="97"/>
      <c r="Y41" s="99"/>
      <c r="Z41" s="91"/>
    </row>
    <row r="42" spans="2:26">
      <c r="B42" s="88"/>
      <c r="C42" s="103"/>
      <c r="D42" s="97"/>
      <c r="E42" s="97"/>
      <c r="F42" s="99"/>
      <c r="H42" s="91"/>
      <c r="I42" s="88"/>
      <c r="K42" s="90"/>
      <c r="L42" s="97"/>
      <c r="M42" s="99"/>
      <c r="N42" s="93"/>
      <c r="O42" s="100"/>
      <c r="P42" s="88"/>
      <c r="R42" s="96"/>
      <c r="S42" s="99"/>
      <c r="T42" s="93"/>
      <c r="U42" s="100"/>
      <c r="V42" s="88"/>
      <c r="X42" s="97"/>
      <c r="Y42" s="99"/>
      <c r="Z42" s="91"/>
    </row>
    <row r="43" spans="2:26">
      <c r="B43" s="88"/>
      <c r="C43" s="103"/>
      <c r="D43" s="97"/>
      <c r="E43" s="97"/>
      <c r="F43" s="99"/>
      <c r="H43" s="91"/>
      <c r="I43" s="88"/>
      <c r="K43" s="96"/>
      <c r="L43" s="97"/>
      <c r="M43" s="99"/>
      <c r="N43" s="93"/>
      <c r="O43" s="100"/>
      <c r="P43" s="88"/>
      <c r="R43" s="96"/>
      <c r="S43" s="99"/>
      <c r="T43" s="93"/>
      <c r="U43" s="100"/>
      <c r="V43" s="88"/>
      <c r="X43" s="97"/>
      <c r="Y43" s="99"/>
      <c r="Z43" s="91"/>
    </row>
    <row r="44" spans="2:26">
      <c r="B44" s="88"/>
      <c r="C44" s="103"/>
      <c r="D44" s="97"/>
      <c r="E44" s="97"/>
      <c r="F44" s="99"/>
      <c r="H44" s="91"/>
      <c r="I44" s="88"/>
      <c r="K44" s="96"/>
      <c r="L44" s="97"/>
      <c r="M44" s="99"/>
      <c r="N44" s="93"/>
      <c r="O44" s="100"/>
      <c r="P44" s="88"/>
      <c r="R44" s="96"/>
      <c r="S44" s="99"/>
      <c r="T44" s="93"/>
      <c r="U44" s="100"/>
      <c r="V44" s="88"/>
      <c r="X44" s="97"/>
      <c r="Y44" s="99"/>
      <c r="Z44" s="91"/>
    </row>
    <row r="45" spans="2:26">
      <c r="B45" s="88"/>
      <c r="C45" s="103"/>
      <c r="D45" s="97"/>
      <c r="E45" s="97"/>
      <c r="F45" s="99"/>
      <c r="H45" s="91"/>
      <c r="I45" s="88"/>
      <c r="K45" s="96"/>
      <c r="L45" s="97"/>
      <c r="M45" s="99"/>
      <c r="N45" s="93"/>
      <c r="O45" s="100"/>
      <c r="P45" s="88"/>
      <c r="R45" s="96"/>
      <c r="S45" s="99"/>
      <c r="T45" s="93"/>
      <c r="U45" s="100"/>
      <c r="V45" s="88"/>
      <c r="X45" s="97"/>
      <c r="Y45" s="99"/>
      <c r="Z45" s="91"/>
    </row>
    <row r="46" spans="2:26">
      <c r="B46" s="88"/>
      <c r="C46" s="103"/>
      <c r="D46" s="97"/>
      <c r="E46" s="97"/>
      <c r="F46" s="99"/>
      <c r="H46" s="91"/>
      <c r="I46" s="88"/>
      <c r="K46" s="96"/>
      <c r="L46" s="97"/>
      <c r="M46" s="99"/>
      <c r="N46" s="93"/>
      <c r="O46" s="100"/>
      <c r="P46" s="88"/>
      <c r="R46" s="97"/>
      <c r="S46" s="99"/>
      <c r="T46" s="93"/>
      <c r="U46" s="100"/>
      <c r="V46" s="88"/>
      <c r="X46" s="97"/>
      <c r="Y46" s="99"/>
      <c r="Z46" s="91"/>
    </row>
    <row r="47" spans="2:26" ht="15.75" thickBot="1">
      <c r="B47" s="104"/>
      <c r="C47" s="105"/>
      <c r="D47" s="106"/>
      <c r="E47" s="106"/>
      <c r="F47" s="106"/>
      <c r="G47" s="106"/>
      <c r="H47" s="107"/>
      <c r="I47" s="104"/>
      <c r="J47" s="106"/>
      <c r="K47" s="106"/>
      <c r="L47" s="106"/>
      <c r="M47" s="106"/>
      <c r="N47" s="106"/>
      <c r="O47" s="107"/>
      <c r="P47" s="104"/>
      <c r="Q47" s="106"/>
      <c r="R47" s="106"/>
      <c r="S47" s="106"/>
      <c r="T47" s="106"/>
      <c r="U47" s="107"/>
      <c r="V47" s="104"/>
      <c r="W47" s="106"/>
      <c r="X47" s="106"/>
      <c r="Y47" s="106"/>
      <c r="Z47" s="107"/>
    </row>
    <row r="48" spans="2:26" ht="15.75" thickTop="1"/>
  </sheetData>
  <dataConsolidate/>
  <mergeCells count="4">
    <mergeCell ref="V36:Z36"/>
    <mergeCell ref="P36:U36"/>
    <mergeCell ref="I36:O36"/>
    <mergeCell ref="B36:H36"/>
  </mergeCells>
  <pageMargins left="0.17" right="0.2" top="0.52" bottom="0.31" header="0.3" footer="0.3"/>
  <pageSetup paperSize="9" scale="6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X25"/>
  <sheetViews>
    <sheetView zoomScaleNormal="100" zoomScaleSheetLayoutView="115" workbookViewId="0">
      <selection activeCell="D38" sqref="D38"/>
    </sheetView>
  </sheetViews>
  <sheetFormatPr defaultRowHeight="15"/>
  <sheetData>
    <row r="2" spans="2:24">
      <c r="B2" s="108"/>
      <c r="C2" s="626" t="s">
        <v>63</v>
      </c>
      <c r="D2" s="627"/>
    </row>
    <row r="3" spans="2:24">
      <c r="B3" s="109"/>
      <c r="C3" s="626" t="s">
        <v>64</v>
      </c>
      <c r="D3" s="627"/>
    </row>
    <row r="4" spans="2:24">
      <c r="B4" s="110"/>
      <c r="C4" s="626" t="s">
        <v>65</v>
      </c>
      <c r="D4" s="627"/>
    </row>
    <row r="6" spans="2:24" ht="15.75">
      <c r="X6" s="186"/>
    </row>
    <row r="7" spans="2:24" ht="16.5">
      <c r="X7" s="17"/>
    </row>
    <row r="8" spans="2:24" ht="16.5">
      <c r="X8" s="18"/>
    </row>
    <row r="9" spans="2:24" ht="16.5">
      <c r="X9" s="18"/>
    </row>
    <row r="22" spans="24:24" ht="15.75">
      <c r="X22" s="186"/>
    </row>
    <row r="23" spans="24:24" ht="16.5">
      <c r="X23" s="18"/>
    </row>
    <row r="24" spans="24:24" ht="16.5">
      <c r="X24" s="17"/>
    </row>
    <row r="25" spans="24:24" ht="16.5">
      <c r="X25" s="18"/>
    </row>
  </sheetData>
  <dataConsolidate/>
  <mergeCells count="3">
    <mergeCell ref="C2:D2"/>
    <mergeCell ref="C3:D3"/>
    <mergeCell ref="C4:D4"/>
  </mergeCells>
  <pageMargins left="0.15" right="0.09" top="0.86" bottom="0.75" header="0.3" footer="0.3"/>
  <pageSetup paperSize="9" scale="6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O21"/>
  <sheetViews>
    <sheetView zoomScale="85" zoomScaleNormal="85" workbookViewId="0">
      <pane xSplit="7" topLeftCell="H1" activePane="topRight" state="frozen"/>
      <selection pane="topRight" activeCell="P13" sqref="P13"/>
    </sheetView>
  </sheetViews>
  <sheetFormatPr defaultRowHeight="14.25"/>
  <cols>
    <col min="1" max="1" width="2.28515625" style="139" customWidth="1"/>
    <col min="2" max="2" width="26.42578125" style="139" customWidth="1"/>
    <col min="3" max="3" width="10.28515625" style="139" customWidth="1"/>
    <col min="4" max="6" width="8.85546875" style="6" customWidth="1"/>
    <col min="7" max="7" width="8.85546875" style="139" customWidth="1"/>
    <col min="8" max="10" width="9.140625" style="139" customWidth="1"/>
    <col min="11" max="11" width="9.28515625" style="139" customWidth="1"/>
    <col min="12" max="35" width="9.140625" style="139" customWidth="1"/>
    <col min="36" max="38" width="10" style="139" customWidth="1"/>
    <col min="39" max="39" width="10.28515625" style="139" customWidth="1"/>
    <col min="40" max="40" width="7" style="139" customWidth="1"/>
    <col min="41" max="41" width="10.28515625" style="139" customWidth="1"/>
    <col min="42" max="67" width="9.140625" style="139" customWidth="1"/>
    <col min="68" max="16384" width="9.140625" style="139"/>
  </cols>
  <sheetData>
    <row r="1" spans="1:67" ht="25.5">
      <c r="A1" s="136"/>
      <c r="B1" s="156" t="s">
        <v>106</v>
      </c>
      <c r="C1" s="137"/>
      <c r="D1" s="154"/>
      <c r="E1" s="154"/>
      <c r="F1" s="154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8"/>
      <c r="AK1" s="138"/>
      <c r="AL1" s="138"/>
      <c r="AM1" s="137"/>
      <c r="AN1" s="137"/>
      <c r="AO1" s="137"/>
    </row>
    <row r="2" spans="1:67" ht="13.5" customHeight="1">
      <c r="A2" s="136"/>
      <c r="B2" s="140"/>
      <c r="C2" s="140"/>
      <c r="D2" s="143"/>
      <c r="E2" s="143"/>
      <c r="F2" s="143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0"/>
      <c r="AK2" s="140"/>
      <c r="AL2" s="140"/>
      <c r="AM2" s="137"/>
      <c r="AN2" s="142"/>
      <c r="AO2" s="141"/>
    </row>
    <row r="3" spans="1:67" ht="16.5" customHeight="1" thickBot="1">
      <c r="A3" s="136"/>
      <c r="B3" s="144"/>
      <c r="C3" s="145"/>
      <c r="D3" s="155"/>
      <c r="E3" s="155"/>
      <c r="F3" s="155"/>
      <c r="G3" s="145"/>
      <c r="H3" s="145"/>
      <c r="I3" s="145"/>
      <c r="J3" s="145"/>
      <c r="K3" s="145"/>
      <c r="L3" s="146"/>
      <c r="M3" s="146"/>
      <c r="N3" s="146"/>
      <c r="O3" s="146"/>
      <c r="P3" s="147"/>
      <c r="Q3" s="140"/>
      <c r="R3" s="140"/>
      <c r="S3" s="148"/>
      <c r="T3" s="148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35"/>
      <c r="AK3" s="135"/>
      <c r="AL3" s="135"/>
      <c r="AM3" s="135"/>
      <c r="AN3" s="143"/>
      <c r="AO3" s="138"/>
    </row>
    <row r="4" spans="1:67" ht="49.5" customHeight="1" thickBot="1">
      <c r="A4" s="136"/>
      <c r="B4" s="639" t="s">
        <v>107</v>
      </c>
      <c r="C4" s="640"/>
      <c r="D4" s="631" t="s">
        <v>7</v>
      </c>
      <c r="E4" s="632"/>
      <c r="F4" s="632"/>
      <c r="G4" s="633"/>
      <c r="H4" s="641" t="str">
        <f>IF('Stowage Plan'!$B$9="","",CONCATENATE('Stowage Plan'!$B$9, " (",'Stowage Plan'!$N$9,")"))</f>
        <v>DARWIN (DRW)</v>
      </c>
      <c r="I4" s="637"/>
      <c r="J4" s="637"/>
      <c r="K4" s="638"/>
      <c r="L4" s="636" t="str">
        <f>IF('Stowage Plan'!B10="","",CONCATENATE('Stowage Plan'!B10, " (",'Stowage Plan'!N10,")"))</f>
        <v>BRISBANE (BNE)</v>
      </c>
      <c r="M4" s="637"/>
      <c r="N4" s="637"/>
      <c r="O4" s="638"/>
      <c r="P4" s="636" t="str">
        <f>IF('Stowage Plan'!B11="","",CONCATENATE('Stowage Plan'!B11, " (",'Stowage Plan'!N11,")"))</f>
        <v>PORT KEMBLA (PKL)</v>
      </c>
      <c r="Q4" s="637"/>
      <c r="R4" s="637"/>
      <c r="S4" s="638"/>
      <c r="T4" s="636" t="str">
        <f>IF('Stowage Plan'!B12="","",CONCATENATE('Stowage Plan'!B12, " (",'Stowage Plan'!N12,")"))</f>
        <v>MELBOURNE (MEL)</v>
      </c>
      <c r="U4" s="637"/>
      <c r="V4" s="637"/>
      <c r="W4" s="638"/>
      <c r="X4" s="636" t="str">
        <f>IF('Stowage Plan'!B13="","",CONCATENATE('Stowage Plan'!B13, " (",'Stowage Plan'!N13,")"))</f>
        <v>FREMANTLE (FRE)</v>
      </c>
      <c r="Y4" s="637"/>
      <c r="Z4" s="637"/>
      <c r="AA4" s="638"/>
      <c r="AB4" s="636" t="str">
        <f>IF('Stowage Plan'!B14="","",CONCATENATE('Stowage Plan'!B14, " (",'Stowage Plan'!N14,")"))</f>
        <v/>
      </c>
      <c r="AC4" s="637"/>
      <c r="AD4" s="637"/>
      <c r="AE4" s="638"/>
      <c r="AF4" s="628" t="str">
        <f>IF('Stowage Plan'!B16="","",CONCATENATE('Stowage Plan'!B16, " (",'Stowage Plan'!N16,")"))</f>
        <v/>
      </c>
      <c r="AG4" s="629"/>
      <c r="AH4" s="629"/>
      <c r="AI4" s="630"/>
      <c r="AJ4" s="628" t="str">
        <f>IF('Stowage Plan'!B17="","",CONCATENATE('Stowage Plan'!B17, " (",'Stowage Plan'!N17,")"))</f>
        <v/>
      </c>
      <c r="AK4" s="629"/>
      <c r="AL4" s="629"/>
      <c r="AM4" s="630"/>
      <c r="AN4" s="628" t="str">
        <f>IF('Stowage Plan'!B18="","",CONCATENATE('Stowage Plan'!B18," (",'Stowage Plan'!N18,")"))</f>
        <v/>
      </c>
      <c r="AO4" s="629"/>
      <c r="AP4" s="629"/>
      <c r="AQ4" s="630"/>
      <c r="AR4" s="628" t="str">
        <f>IF('Stowage Plan'!B19="","",CONCATENATE('Stowage Plan'!B19, " (",'Stowage Plan'!N19,")"))</f>
        <v/>
      </c>
      <c r="AS4" s="629"/>
      <c r="AT4" s="629"/>
      <c r="AU4" s="630"/>
      <c r="AV4" s="628" t="str">
        <f>IF('Stowage Plan'!B20="","",CONCATENATE('Stowage Plan'!B20, " (",'Stowage Plan'!N20,")"))</f>
        <v/>
      </c>
      <c r="AW4" s="629"/>
      <c r="AX4" s="629"/>
      <c r="AY4" s="630"/>
      <c r="AZ4" s="628"/>
      <c r="BA4" s="629"/>
      <c r="BB4" s="629"/>
      <c r="BC4" s="630"/>
      <c r="BD4" s="628"/>
      <c r="BE4" s="629"/>
      <c r="BF4" s="629"/>
      <c r="BG4" s="630"/>
      <c r="BH4" s="628"/>
      <c r="BI4" s="629"/>
      <c r="BJ4" s="629"/>
      <c r="BK4" s="630"/>
      <c r="BL4" s="628"/>
      <c r="BM4" s="629"/>
      <c r="BN4" s="629"/>
      <c r="BO4" s="630"/>
    </row>
    <row r="5" spans="1:67" ht="15.75" thickBot="1">
      <c r="A5" s="136"/>
      <c r="B5" s="161" t="s">
        <v>51</v>
      </c>
      <c r="C5" s="163" t="s">
        <v>50</v>
      </c>
      <c r="D5" s="161" t="s">
        <v>98</v>
      </c>
      <c r="E5" s="161" t="s">
        <v>101</v>
      </c>
      <c r="F5" s="161" t="s">
        <v>20</v>
      </c>
      <c r="G5" s="161" t="s">
        <v>101</v>
      </c>
      <c r="H5" s="164" t="s">
        <v>98</v>
      </c>
      <c r="I5" s="161" t="s">
        <v>101</v>
      </c>
      <c r="J5" s="161" t="s">
        <v>20</v>
      </c>
      <c r="K5" s="161" t="s">
        <v>101</v>
      </c>
      <c r="L5" s="161" t="s">
        <v>98</v>
      </c>
      <c r="M5" s="161" t="s">
        <v>101</v>
      </c>
      <c r="N5" s="161" t="s">
        <v>20</v>
      </c>
      <c r="O5" s="161" t="s">
        <v>101</v>
      </c>
      <c r="P5" s="161" t="s">
        <v>98</v>
      </c>
      <c r="Q5" s="161" t="s">
        <v>101</v>
      </c>
      <c r="R5" s="161" t="s">
        <v>20</v>
      </c>
      <c r="S5" s="161" t="s">
        <v>101</v>
      </c>
      <c r="T5" s="161" t="s">
        <v>98</v>
      </c>
      <c r="U5" s="161" t="s">
        <v>101</v>
      </c>
      <c r="V5" s="161" t="s">
        <v>20</v>
      </c>
      <c r="W5" s="161" t="s">
        <v>101</v>
      </c>
      <c r="X5" s="161" t="s">
        <v>98</v>
      </c>
      <c r="Y5" s="161" t="s">
        <v>101</v>
      </c>
      <c r="Z5" s="161" t="s">
        <v>20</v>
      </c>
      <c r="AA5" s="161" t="s">
        <v>101</v>
      </c>
      <c r="AB5" s="161" t="s">
        <v>98</v>
      </c>
      <c r="AC5" s="161" t="s">
        <v>101</v>
      </c>
      <c r="AD5" s="161" t="s">
        <v>20</v>
      </c>
      <c r="AE5" s="161" t="s">
        <v>101</v>
      </c>
      <c r="AF5" s="151" t="s">
        <v>98</v>
      </c>
      <c r="AG5" s="151" t="s">
        <v>101</v>
      </c>
      <c r="AH5" s="151" t="s">
        <v>20</v>
      </c>
      <c r="AI5" s="151" t="s">
        <v>101</v>
      </c>
      <c r="AJ5" s="151" t="s">
        <v>98</v>
      </c>
      <c r="AK5" s="151" t="s">
        <v>101</v>
      </c>
      <c r="AL5" s="151" t="s">
        <v>20</v>
      </c>
      <c r="AM5" s="151" t="s">
        <v>101</v>
      </c>
      <c r="AN5" s="151" t="s">
        <v>98</v>
      </c>
      <c r="AO5" s="151" t="s">
        <v>101</v>
      </c>
      <c r="AP5" s="151" t="s">
        <v>20</v>
      </c>
      <c r="AQ5" s="151" t="s">
        <v>101</v>
      </c>
      <c r="AR5" s="151" t="s">
        <v>98</v>
      </c>
      <c r="AS5" s="151" t="s">
        <v>101</v>
      </c>
      <c r="AT5" s="151" t="s">
        <v>20</v>
      </c>
      <c r="AU5" s="151" t="s">
        <v>101</v>
      </c>
      <c r="AV5" s="151" t="s">
        <v>98</v>
      </c>
      <c r="AW5" s="151" t="s">
        <v>101</v>
      </c>
      <c r="AX5" s="151" t="s">
        <v>20</v>
      </c>
      <c r="AY5" s="151" t="s">
        <v>101</v>
      </c>
      <c r="AZ5" s="151" t="s">
        <v>98</v>
      </c>
      <c r="BA5" s="151" t="s">
        <v>101</v>
      </c>
      <c r="BB5" s="151" t="s">
        <v>20</v>
      </c>
      <c r="BC5" s="151" t="s">
        <v>101</v>
      </c>
      <c r="BD5" s="151" t="s">
        <v>98</v>
      </c>
      <c r="BE5" s="151" t="s">
        <v>101</v>
      </c>
      <c r="BF5" s="151" t="s">
        <v>20</v>
      </c>
      <c r="BG5" s="151" t="s">
        <v>101</v>
      </c>
      <c r="BH5" s="151" t="s">
        <v>98</v>
      </c>
      <c r="BI5" s="151" t="s">
        <v>101</v>
      </c>
      <c r="BJ5" s="151" t="s">
        <v>20</v>
      </c>
      <c r="BK5" s="151" t="s">
        <v>101</v>
      </c>
      <c r="BL5" s="151" t="s">
        <v>98</v>
      </c>
      <c r="BM5" s="151" t="s">
        <v>101</v>
      </c>
      <c r="BN5" s="151" t="s">
        <v>20</v>
      </c>
      <c r="BO5" s="151" t="s">
        <v>101</v>
      </c>
    </row>
    <row r="6" spans="1:67">
      <c r="B6" s="166"/>
      <c r="C6" s="166"/>
      <c r="D6" s="167"/>
      <c r="E6" s="167"/>
      <c r="F6" s="167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</row>
    <row r="7" spans="1:67" ht="15.75">
      <c r="A7" s="136"/>
      <c r="B7" s="165" t="s">
        <v>99</v>
      </c>
      <c r="C7" s="165" t="s">
        <v>58</v>
      </c>
      <c r="D7" s="162">
        <f>IF(B7="","",SumNonContiguous(H7:AU7,0))</f>
        <v>405</v>
      </c>
      <c r="E7" s="162">
        <f>IF(B7="","",SumNonContiguous(H7:AU7,1))</f>
        <v>737.3</v>
      </c>
      <c r="F7" s="162">
        <f>IF(B7="","",SumNonContiguous(H7:AU7,2))</f>
        <v>76</v>
      </c>
      <c r="G7" s="162">
        <f>IF(B7="","",SumNonContiguous(H7:AU7,3))</f>
        <v>116.3</v>
      </c>
      <c r="H7" s="162">
        <v>405</v>
      </c>
      <c r="I7" s="162">
        <v>737.3</v>
      </c>
      <c r="J7" s="162">
        <v>68</v>
      </c>
      <c r="K7" s="162">
        <v>100.5</v>
      </c>
      <c r="L7" s="162"/>
      <c r="M7" s="162"/>
      <c r="N7" s="162"/>
      <c r="O7" s="162"/>
      <c r="P7" s="162"/>
      <c r="Q7" s="162"/>
      <c r="R7" s="162">
        <v>8</v>
      </c>
      <c r="S7" s="162">
        <v>15.8</v>
      </c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</row>
    <row r="8" spans="1:67" ht="15.75">
      <c r="A8" s="136"/>
      <c r="B8" s="165" t="s">
        <v>100</v>
      </c>
      <c r="C8" s="165" t="s">
        <v>91</v>
      </c>
      <c r="D8" s="162">
        <f>IF(B8="","",SumNonContiguous(H8:AU8,0))</f>
        <v>98</v>
      </c>
      <c r="E8" s="162">
        <f>IF(B8="","",SumNonContiguous(H8:AU8,1))</f>
        <v>147.60000000000002</v>
      </c>
      <c r="F8" s="162">
        <f>IF(B8="","",SumNonContiguous(H8:AU8,2))</f>
        <v>0</v>
      </c>
      <c r="G8" s="162">
        <f>IF(B8="","",SumNonContiguous(H8:AU8,3))</f>
        <v>0</v>
      </c>
      <c r="H8" s="162">
        <v>23</v>
      </c>
      <c r="I8" s="162"/>
      <c r="J8" s="162"/>
      <c r="K8" s="162"/>
      <c r="L8" s="162">
        <v>25</v>
      </c>
      <c r="M8" s="162">
        <v>12.3</v>
      </c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>
        <v>50</v>
      </c>
      <c r="Y8" s="162">
        <v>135.30000000000001</v>
      </c>
      <c r="Z8" s="162"/>
      <c r="AA8" s="162"/>
      <c r="AB8" s="162"/>
      <c r="AC8" s="162"/>
      <c r="AD8" s="162"/>
      <c r="AE8" s="162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3"/>
      <c r="BA8" s="153"/>
      <c r="BB8" s="153"/>
      <c r="BC8" s="153"/>
      <c r="BD8" s="153"/>
      <c r="BE8" s="153"/>
      <c r="BF8" s="153"/>
      <c r="BG8" s="153"/>
      <c r="BH8" s="153"/>
      <c r="BI8" s="153"/>
      <c r="BJ8" s="153"/>
      <c r="BK8" s="153"/>
      <c r="BL8" s="153"/>
      <c r="BM8" s="153"/>
      <c r="BN8" s="153"/>
      <c r="BO8" s="153"/>
    </row>
    <row r="9" spans="1:67" ht="15.75">
      <c r="A9" s="136"/>
      <c r="B9" s="165"/>
      <c r="C9" s="165"/>
      <c r="D9" s="162" t="str">
        <f>IF(B9="","",SumNonContiguous(H9:AU9,0))</f>
        <v/>
      </c>
      <c r="E9" s="162" t="str">
        <f>IF(B9="","",SumNonContiguous(H9:AU9,1))</f>
        <v/>
      </c>
      <c r="F9" s="162" t="str">
        <f>IF(B9="","",SumNonContiguous(H9:AU9,2))</f>
        <v/>
      </c>
      <c r="G9" s="162" t="str">
        <f>IF(B9="","",SumNonContiguous(H9:AU9,3))</f>
        <v/>
      </c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  <c r="AV9" s="153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3"/>
      <c r="BL9" s="153"/>
      <c r="BM9" s="153"/>
      <c r="BN9" s="153"/>
      <c r="BO9" s="153"/>
    </row>
    <row r="10" spans="1:67" ht="15.75">
      <c r="A10" s="136"/>
      <c r="B10" s="165"/>
      <c r="C10" s="165"/>
      <c r="D10" s="162" t="str">
        <f t="shared" ref="D10:D19" si="0">IF(B10="","",SumNonContiguous(H10:AU10,0))</f>
        <v/>
      </c>
      <c r="E10" s="162" t="str">
        <f t="shared" ref="E10:E19" si="1">IF(B10="","",SumNonContiguous(H10:AU10,1))</f>
        <v/>
      </c>
      <c r="F10" s="162" t="str">
        <f t="shared" ref="F10:F19" si="2">IF(B10="","",SumNonContiguous(H10:AU10,2))</f>
        <v/>
      </c>
      <c r="G10" s="162" t="str">
        <f t="shared" ref="G10:G19" si="3">IF(B10="","",SumNonContiguous(H10:AU10,3))</f>
        <v/>
      </c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E10" s="153"/>
      <c r="BF10" s="153"/>
      <c r="BG10" s="153"/>
      <c r="BH10" s="153"/>
      <c r="BI10" s="153"/>
      <c r="BJ10" s="153"/>
      <c r="BK10" s="153"/>
      <c r="BL10" s="153"/>
      <c r="BM10" s="153"/>
      <c r="BN10" s="153"/>
      <c r="BO10" s="153"/>
    </row>
    <row r="11" spans="1:67" ht="15.75">
      <c r="A11" s="136"/>
      <c r="B11" s="165"/>
      <c r="C11" s="165"/>
      <c r="D11" s="162" t="str">
        <f t="shared" si="0"/>
        <v/>
      </c>
      <c r="E11" s="162" t="str">
        <f t="shared" si="1"/>
        <v/>
      </c>
      <c r="F11" s="162" t="str">
        <f t="shared" si="2"/>
        <v/>
      </c>
      <c r="G11" s="162" t="str">
        <f t="shared" si="3"/>
        <v/>
      </c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E11" s="153"/>
      <c r="BF11" s="153"/>
      <c r="BG11" s="153"/>
      <c r="BH11" s="153"/>
      <c r="BI11" s="153"/>
      <c r="BJ11" s="153"/>
      <c r="BK11" s="153"/>
      <c r="BL11" s="153"/>
      <c r="BM11" s="153"/>
      <c r="BN11" s="153"/>
      <c r="BO11" s="153"/>
    </row>
    <row r="12" spans="1:67" ht="15.75">
      <c r="A12" s="136"/>
      <c r="B12" s="165"/>
      <c r="C12" s="165"/>
      <c r="D12" s="162" t="str">
        <f t="shared" si="0"/>
        <v/>
      </c>
      <c r="E12" s="162" t="str">
        <f t="shared" si="1"/>
        <v/>
      </c>
      <c r="F12" s="162" t="str">
        <f t="shared" si="2"/>
        <v/>
      </c>
      <c r="G12" s="162" t="str">
        <f t="shared" si="3"/>
        <v/>
      </c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3"/>
      <c r="AZ12" s="153"/>
      <c r="BA12" s="153"/>
      <c r="BB12" s="153"/>
      <c r="BC12" s="153"/>
      <c r="BD12" s="153"/>
      <c r="BE12" s="153"/>
      <c r="BF12" s="153"/>
      <c r="BG12" s="153"/>
      <c r="BH12" s="153"/>
      <c r="BI12" s="153"/>
      <c r="BJ12" s="153"/>
      <c r="BK12" s="153"/>
      <c r="BL12" s="153"/>
      <c r="BM12" s="153"/>
      <c r="BN12" s="153"/>
      <c r="BO12" s="153"/>
    </row>
    <row r="13" spans="1:67" ht="15.75">
      <c r="A13" s="136"/>
      <c r="B13" s="165"/>
      <c r="C13" s="165"/>
      <c r="D13" s="162" t="str">
        <f t="shared" si="0"/>
        <v/>
      </c>
      <c r="E13" s="162" t="str">
        <f t="shared" si="1"/>
        <v/>
      </c>
      <c r="F13" s="162" t="str">
        <f t="shared" si="2"/>
        <v/>
      </c>
      <c r="G13" s="162" t="str">
        <f t="shared" si="3"/>
        <v/>
      </c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153"/>
      <c r="BN13" s="153"/>
      <c r="BO13" s="153"/>
    </row>
    <row r="14" spans="1:67" ht="15.75">
      <c r="A14" s="136"/>
      <c r="B14" s="165"/>
      <c r="C14" s="165"/>
      <c r="D14" s="162" t="str">
        <f t="shared" si="0"/>
        <v/>
      </c>
      <c r="E14" s="162" t="str">
        <f t="shared" si="1"/>
        <v/>
      </c>
      <c r="F14" s="162" t="str">
        <f t="shared" si="2"/>
        <v/>
      </c>
      <c r="G14" s="162" t="str">
        <f t="shared" si="3"/>
        <v/>
      </c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  <c r="BE14" s="153"/>
      <c r="BF14" s="153"/>
      <c r="BG14" s="153"/>
      <c r="BH14" s="153"/>
      <c r="BI14" s="153"/>
      <c r="BJ14" s="153"/>
      <c r="BK14" s="153"/>
      <c r="BL14" s="153"/>
      <c r="BM14" s="153"/>
      <c r="BN14" s="153"/>
      <c r="BO14" s="153"/>
    </row>
    <row r="15" spans="1:67" ht="15.75">
      <c r="A15" s="136"/>
      <c r="B15" s="165"/>
      <c r="C15" s="165"/>
      <c r="D15" s="162" t="str">
        <f t="shared" si="0"/>
        <v/>
      </c>
      <c r="E15" s="162" t="str">
        <f t="shared" si="1"/>
        <v/>
      </c>
      <c r="F15" s="162" t="str">
        <f t="shared" si="2"/>
        <v/>
      </c>
      <c r="G15" s="162" t="str">
        <f t="shared" si="3"/>
        <v/>
      </c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  <c r="BE15" s="153"/>
      <c r="BF15" s="153"/>
      <c r="BG15" s="153"/>
      <c r="BH15" s="153"/>
      <c r="BI15" s="153"/>
      <c r="BJ15" s="153"/>
      <c r="BK15" s="153"/>
      <c r="BL15" s="153"/>
      <c r="BM15" s="153"/>
      <c r="BN15" s="153"/>
      <c r="BO15" s="153"/>
    </row>
    <row r="16" spans="1:67" ht="15.75">
      <c r="A16" s="136"/>
      <c r="B16" s="165"/>
      <c r="C16" s="165"/>
      <c r="D16" s="162" t="str">
        <f t="shared" si="0"/>
        <v/>
      </c>
      <c r="E16" s="162" t="str">
        <f t="shared" si="1"/>
        <v/>
      </c>
      <c r="F16" s="162" t="str">
        <f t="shared" si="2"/>
        <v/>
      </c>
      <c r="G16" s="162" t="str">
        <f t="shared" si="3"/>
        <v/>
      </c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153"/>
      <c r="BF16" s="153"/>
      <c r="BG16" s="153"/>
      <c r="BH16" s="153"/>
      <c r="BI16" s="153"/>
      <c r="BJ16" s="153"/>
      <c r="BK16" s="153"/>
      <c r="BL16" s="153"/>
      <c r="BM16" s="153"/>
      <c r="BN16" s="153"/>
      <c r="BO16" s="153"/>
    </row>
    <row r="17" spans="1:67" ht="15.75">
      <c r="A17" s="136"/>
      <c r="B17" s="165"/>
      <c r="C17" s="165"/>
      <c r="D17" s="162" t="str">
        <f t="shared" si="0"/>
        <v/>
      </c>
      <c r="E17" s="162" t="str">
        <f t="shared" si="1"/>
        <v/>
      </c>
      <c r="F17" s="162" t="str">
        <f t="shared" si="2"/>
        <v/>
      </c>
      <c r="G17" s="162" t="str">
        <f t="shared" si="3"/>
        <v/>
      </c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153"/>
      <c r="BF17" s="153"/>
      <c r="BG17" s="153"/>
      <c r="BH17" s="153"/>
      <c r="BI17" s="153"/>
      <c r="BJ17" s="153"/>
      <c r="BK17" s="153"/>
      <c r="BL17" s="153"/>
      <c r="BM17" s="153"/>
      <c r="BN17" s="153"/>
      <c r="BO17" s="153"/>
    </row>
    <row r="18" spans="1:67" ht="15.75">
      <c r="A18" s="136"/>
      <c r="B18" s="165"/>
      <c r="C18" s="165"/>
      <c r="D18" s="162" t="str">
        <f t="shared" si="0"/>
        <v/>
      </c>
      <c r="E18" s="162" t="str">
        <f t="shared" si="1"/>
        <v/>
      </c>
      <c r="F18" s="162" t="str">
        <f t="shared" si="2"/>
        <v/>
      </c>
      <c r="G18" s="162" t="str">
        <f t="shared" si="3"/>
        <v/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  <c r="AW18" s="153"/>
      <c r="AX18" s="153"/>
      <c r="AY18" s="153"/>
      <c r="AZ18" s="153"/>
      <c r="BA18" s="153"/>
      <c r="BB18" s="153"/>
      <c r="BC18" s="153"/>
      <c r="BD18" s="153"/>
      <c r="BE18" s="153"/>
      <c r="BF18" s="153"/>
      <c r="BG18" s="153"/>
      <c r="BH18" s="153"/>
      <c r="BI18" s="153"/>
      <c r="BJ18" s="153"/>
      <c r="BK18" s="153"/>
      <c r="BL18" s="153"/>
      <c r="BM18" s="153"/>
      <c r="BN18" s="153"/>
      <c r="BO18" s="153"/>
    </row>
    <row r="19" spans="1:67" ht="15.75">
      <c r="A19" s="136"/>
      <c r="B19" s="165"/>
      <c r="C19" s="165"/>
      <c r="D19" s="162" t="str">
        <f t="shared" si="0"/>
        <v/>
      </c>
      <c r="E19" s="162" t="str">
        <f t="shared" si="1"/>
        <v/>
      </c>
      <c r="F19" s="162" t="str">
        <f t="shared" si="2"/>
        <v/>
      </c>
      <c r="G19" s="162" t="str">
        <f t="shared" si="3"/>
        <v/>
      </c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</row>
    <row r="20" spans="1:67" ht="15" thickBot="1">
      <c r="B20" s="166"/>
      <c r="C20" s="166"/>
      <c r="D20" s="167"/>
      <c r="E20" s="167"/>
      <c r="F20" s="167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</row>
    <row r="21" spans="1:67" ht="18.75" thickBot="1">
      <c r="A21" s="150"/>
      <c r="B21" s="634" t="s">
        <v>7</v>
      </c>
      <c r="C21" s="635"/>
      <c r="D21" s="157">
        <f>SUM($D$6:$D$20)</f>
        <v>503</v>
      </c>
      <c r="E21" s="157">
        <f t="shared" ref="E21:AU21" si="4">SUM(E6:E20)</f>
        <v>884.9</v>
      </c>
      <c r="F21" s="158">
        <f t="shared" si="4"/>
        <v>76</v>
      </c>
      <c r="G21" s="158">
        <f t="shared" si="4"/>
        <v>116.3</v>
      </c>
      <c r="H21" s="159">
        <f t="shared" si="4"/>
        <v>428</v>
      </c>
      <c r="I21" s="160">
        <f t="shared" si="4"/>
        <v>737.3</v>
      </c>
      <c r="J21" s="160">
        <f t="shared" si="4"/>
        <v>68</v>
      </c>
      <c r="K21" s="160">
        <f t="shared" si="4"/>
        <v>100.5</v>
      </c>
      <c r="L21" s="160">
        <f t="shared" si="4"/>
        <v>25</v>
      </c>
      <c r="M21" s="160">
        <f t="shared" si="4"/>
        <v>12.3</v>
      </c>
      <c r="N21" s="160">
        <f t="shared" si="4"/>
        <v>0</v>
      </c>
      <c r="O21" s="160">
        <f t="shared" si="4"/>
        <v>0</v>
      </c>
      <c r="P21" s="160">
        <f t="shared" si="4"/>
        <v>0</v>
      </c>
      <c r="Q21" s="160">
        <f t="shared" si="4"/>
        <v>0</v>
      </c>
      <c r="R21" s="160">
        <f t="shared" si="4"/>
        <v>8</v>
      </c>
      <c r="S21" s="160">
        <f t="shared" si="4"/>
        <v>15.8</v>
      </c>
      <c r="T21" s="160">
        <f t="shared" si="4"/>
        <v>0</v>
      </c>
      <c r="U21" s="160">
        <f t="shared" si="4"/>
        <v>0</v>
      </c>
      <c r="V21" s="160">
        <f t="shared" si="4"/>
        <v>0</v>
      </c>
      <c r="W21" s="160">
        <f t="shared" si="4"/>
        <v>0</v>
      </c>
      <c r="X21" s="160">
        <f t="shared" si="4"/>
        <v>50</v>
      </c>
      <c r="Y21" s="160">
        <f t="shared" si="4"/>
        <v>135.30000000000001</v>
      </c>
      <c r="Z21" s="160">
        <f t="shared" si="4"/>
        <v>0</v>
      </c>
      <c r="AA21" s="160">
        <f t="shared" si="4"/>
        <v>0</v>
      </c>
      <c r="AB21" s="160">
        <f t="shared" si="4"/>
        <v>0</v>
      </c>
      <c r="AC21" s="160">
        <f t="shared" si="4"/>
        <v>0</v>
      </c>
      <c r="AD21" s="160">
        <f t="shared" si="4"/>
        <v>0</v>
      </c>
      <c r="AE21" s="160">
        <f t="shared" si="4"/>
        <v>0</v>
      </c>
      <c r="AF21" s="160">
        <f t="shared" si="4"/>
        <v>0</v>
      </c>
      <c r="AG21" s="160">
        <f t="shared" si="4"/>
        <v>0</v>
      </c>
      <c r="AH21" s="160">
        <f t="shared" si="4"/>
        <v>0</v>
      </c>
      <c r="AI21" s="160">
        <f t="shared" si="4"/>
        <v>0</v>
      </c>
      <c r="AJ21" s="160">
        <f t="shared" si="4"/>
        <v>0</v>
      </c>
      <c r="AK21" s="160">
        <f t="shared" si="4"/>
        <v>0</v>
      </c>
      <c r="AL21" s="160">
        <f t="shared" si="4"/>
        <v>0</v>
      </c>
      <c r="AM21" s="160">
        <f t="shared" si="4"/>
        <v>0</v>
      </c>
      <c r="AN21" s="160">
        <f t="shared" si="4"/>
        <v>0</v>
      </c>
      <c r="AO21" s="160">
        <f t="shared" si="4"/>
        <v>0</v>
      </c>
      <c r="AP21" s="160">
        <f t="shared" si="4"/>
        <v>0</v>
      </c>
      <c r="AQ21" s="160">
        <f t="shared" si="4"/>
        <v>0</v>
      </c>
      <c r="AR21" s="160">
        <f t="shared" si="4"/>
        <v>0</v>
      </c>
      <c r="AS21" s="160">
        <f t="shared" si="4"/>
        <v>0</v>
      </c>
      <c r="AT21" s="160">
        <f t="shared" si="4"/>
        <v>0</v>
      </c>
      <c r="AU21" s="160">
        <f t="shared" si="4"/>
        <v>0</v>
      </c>
      <c r="AV21" s="160"/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</row>
  </sheetData>
  <mergeCells count="18">
    <mergeCell ref="AV4:AY4"/>
    <mergeCell ref="AZ4:BC4"/>
    <mergeCell ref="BD4:BG4"/>
    <mergeCell ref="BH4:BK4"/>
    <mergeCell ref="BL4:BO4"/>
    <mergeCell ref="AJ4:AM4"/>
    <mergeCell ref="AN4:AQ4"/>
    <mergeCell ref="AR4:AU4"/>
    <mergeCell ref="D4:G4"/>
    <mergeCell ref="B21:C21"/>
    <mergeCell ref="P4:S4"/>
    <mergeCell ref="T4:W4"/>
    <mergeCell ref="X4:AA4"/>
    <mergeCell ref="AF4:AI4"/>
    <mergeCell ref="B4:C4"/>
    <mergeCell ref="H4:K4"/>
    <mergeCell ref="L4:O4"/>
    <mergeCell ref="AB4:AE4"/>
  </mergeCells>
  <conditionalFormatting sqref="H7:BO19">
    <cfRule type="cellIs" dxfId="0" priority="15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T42"/>
  <sheetViews>
    <sheetView showGridLines="0" topLeftCell="A2" zoomScale="85" zoomScaleNormal="85" zoomScaleSheetLayoutView="85" workbookViewId="0">
      <selection activeCell="AW23" sqref="AW23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1"/>
      <c r="B1" s="111"/>
      <c r="C1" s="111"/>
      <c r="D1" s="111"/>
      <c r="E1" s="111"/>
      <c r="F1" s="111"/>
      <c r="G1" s="111"/>
      <c r="H1" s="111"/>
      <c r="I1" s="112"/>
      <c r="J1" s="111"/>
      <c r="K1" s="111"/>
      <c r="L1" s="113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46" ht="18.7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4" t="s">
        <v>66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</row>
    <row r="3" spans="1:46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</row>
    <row r="4" spans="1:46" ht="15.75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</row>
    <row r="5" spans="1:46" ht="15.75" thickTop="1">
      <c r="A5" s="111"/>
      <c r="B5" s="111"/>
      <c r="C5" s="111"/>
      <c r="D5" s="111"/>
      <c r="E5" s="642" t="s">
        <v>67</v>
      </c>
      <c r="F5" s="643"/>
      <c r="G5" s="643"/>
      <c r="H5" s="643"/>
      <c r="I5" s="643"/>
      <c r="J5" s="643"/>
      <c r="K5" s="115" t="s">
        <v>68</v>
      </c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7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</row>
    <row r="6" spans="1:46">
      <c r="A6" s="111"/>
      <c r="B6" s="111"/>
      <c r="C6" s="111"/>
      <c r="D6" s="111"/>
      <c r="E6" s="644"/>
      <c r="F6" s="645"/>
      <c r="G6" s="645"/>
      <c r="H6" s="645"/>
      <c r="I6" s="645"/>
      <c r="J6" s="645"/>
      <c r="K6" s="118" t="s">
        <v>69</v>
      </c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20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</row>
    <row r="7" spans="1:46">
      <c r="A7" s="111"/>
      <c r="B7" s="111"/>
      <c r="C7" s="111"/>
      <c r="D7" s="111"/>
      <c r="E7" s="12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22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</row>
    <row r="8" spans="1:46">
      <c r="A8" s="111"/>
      <c r="B8" s="111"/>
      <c r="C8" s="111"/>
      <c r="D8" s="111"/>
      <c r="E8" s="646" t="s">
        <v>70</v>
      </c>
      <c r="F8" s="647"/>
      <c r="G8" s="647"/>
      <c r="H8" s="647"/>
      <c r="I8" s="647"/>
      <c r="J8" s="648"/>
      <c r="K8" s="123" t="s">
        <v>71</v>
      </c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</row>
    <row r="9" spans="1:46" ht="15.75" thickBot="1">
      <c r="A9" s="111"/>
      <c r="B9" s="126"/>
      <c r="C9" s="111"/>
      <c r="D9" s="111"/>
      <c r="E9" s="649"/>
      <c r="F9" s="650"/>
      <c r="G9" s="650"/>
      <c r="H9" s="650"/>
      <c r="I9" s="650"/>
      <c r="J9" s="651"/>
      <c r="K9" s="127" t="s">
        <v>72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9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</row>
    <row r="10" spans="1:46" ht="15.75" thickTop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 t="s">
        <v>12</v>
      </c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</row>
    <row r="12" spans="1:46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</row>
    <row r="13" spans="1:46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</row>
    <row r="14" spans="1:46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</row>
    <row r="15" spans="1:46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</row>
    <row r="16" spans="1:46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</row>
    <row r="17" spans="1:46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</row>
    <row r="18" spans="1:46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</row>
    <row r="19" spans="1:46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</row>
    <row r="20" spans="1:46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</row>
    <row r="21" spans="1:46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>
        <v>27</v>
      </c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30" t="s">
        <v>73</v>
      </c>
      <c r="AO21" s="111"/>
      <c r="AP21" s="111"/>
      <c r="AQ21" s="111"/>
      <c r="AR21" s="111"/>
      <c r="AS21" s="111"/>
      <c r="AT21" s="111"/>
    </row>
    <row r="22" spans="1:46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</row>
    <row r="23" spans="1:46">
      <c r="A23" s="111"/>
      <c r="B23" s="111"/>
      <c r="C23" s="111"/>
      <c r="D23" s="111"/>
      <c r="E23" s="652">
        <v>10.08</v>
      </c>
      <c r="F23" s="652"/>
      <c r="G23" s="111"/>
      <c r="H23" s="111">
        <v>76</v>
      </c>
      <c r="I23" s="111"/>
      <c r="J23" s="111"/>
      <c r="K23" s="111">
        <v>60</v>
      </c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</row>
    <row r="24" spans="1:46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</row>
    <row r="25" spans="1:46">
      <c r="A25" s="111"/>
      <c r="B25" s="111"/>
      <c r="C25" s="111"/>
      <c r="D25" s="111"/>
      <c r="E25" s="111"/>
      <c r="F25" s="111"/>
      <c r="G25" s="111"/>
      <c r="H25" s="111">
        <v>17</v>
      </c>
      <c r="I25" s="111">
        <v>5</v>
      </c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</row>
    <row r="26" spans="1:46">
      <c r="A26" s="111"/>
      <c r="B26" s="111"/>
      <c r="C26" s="111"/>
      <c r="D26" s="111"/>
      <c r="E26" s="111"/>
      <c r="F26" s="111"/>
      <c r="G26" s="111"/>
      <c r="H26" s="111">
        <v>73</v>
      </c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30" t="s">
        <v>74</v>
      </c>
      <c r="AT26" s="111"/>
    </row>
    <row r="27" spans="1:46">
      <c r="A27" s="111"/>
      <c r="B27" s="111"/>
      <c r="C27" s="111"/>
      <c r="D27" s="111"/>
      <c r="E27" s="111">
        <v>121</v>
      </c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30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</row>
    <row r="28" spans="1:46">
      <c r="A28" s="111"/>
      <c r="B28" s="111"/>
      <c r="C28" s="111"/>
      <c r="D28" s="111"/>
      <c r="E28" s="111">
        <v>126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31" t="s">
        <v>75</v>
      </c>
      <c r="AR28" s="111"/>
      <c r="AS28" s="111"/>
      <c r="AT28" s="111"/>
    </row>
    <row r="29" spans="1:46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30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30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</row>
    <row r="30" spans="1:46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</row>
    <row r="31" spans="1:46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</row>
    <row r="32" spans="1:46">
      <c r="A32" s="111"/>
      <c r="B32" s="111"/>
      <c r="C32" s="111"/>
      <c r="D32" s="111"/>
      <c r="E32" s="130" t="s">
        <v>76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</row>
    <row r="33" spans="1:46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30" t="s">
        <v>77</v>
      </c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</row>
    <row r="34" spans="1:46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</row>
    <row r="35" spans="1:46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</row>
    <row r="36" spans="1:46">
      <c r="A36" s="111"/>
      <c r="B36" s="111"/>
      <c r="C36" s="111" t="s">
        <v>78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79</v>
      </c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</row>
    <row r="37" spans="1:46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</row>
    <row r="38" spans="1:46">
      <c r="A38" s="111"/>
      <c r="B38" s="111"/>
      <c r="C38" s="111" t="s">
        <v>80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 t="s">
        <v>81</v>
      </c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</row>
    <row r="39" spans="1:46">
      <c r="A39" s="111"/>
      <c r="B39" s="111"/>
      <c r="C39" s="111" t="s">
        <v>82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 t="s">
        <v>83</v>
      </c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</row>
    <row r="40" spans="1:46">
      <c r="A40" s="111"/>
      <c r="B40" s="111"/>
      <c r="C40" s="111" t="s">
        <v>84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 t="s">
        <v>85</v>
      </c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</row>
    <row r="41" spans="1:46">
      <c r="A41" s="111"/>
      <c r="B41" s="111"/>
      <c r="C41" s="111" t="s">
        <v>86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 t="s">
        <v>87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1:46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 t="s">
        <v>88</v>
      </c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</row>
  </sheetData>
  <dataConsolidate/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delete" Type="http://schemas.openxmlformats.org/officeDocument/2006/relationships/image" Target="images/delete.png"/><Relationship Id="pallet" Type="http://schemas.openxmlformats.org/officeDocument/2006/relationships/image" Target="images/pallet.png"/><Relationship Id="check" Type="http://schemas.openxmlformats.org/officeDocument/2006/relationships/image" Target="images/check.png"/><Relationship Id="cargo" Type="http://schemas.openxmlformats.org/officeDocument/2006/relationships/image" Target="images/cargo.png"/><Relationship Id="show" Type="http://schemas.openxmlformats.org/officeDocument/2006/relationships/image" Target="images/show.png"/><Relationship Id="eraser" Type="http://schemas.openxmlformats.org/officeDocument/2006/relationships/image" Target="images/eraser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hide" Type="http://schemas.openxmlformats.org/officeDocument/2006/relationships/image" Target="images/hide.png"/><Relationship Id="info" Type="http://schemas.openxmlformats.org/officeDocument/2006/relationships/image" Target="images/info.png"/><Relationship Id="box" Type="http://schemas.openxmlformats.org/officeDocument/2006/relationships/image" Target="images/box.png"/><Relationship Id="close" Type="http://schemas.openxmlformats.org/officeDocument/2006/relationships/image" Target="images/close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nitsAndWeightsButton" label="Units and Weights" size="large" onAction="App.Main" image="laptop"/>
          <button id="ValidateCalculationsButtonCheck" label="Validate" size="large" onAction="ValidateCalculations.ValidateUnitsAndWeights" image="check"/>
        </group>
        <group id="DrawingPlanGroup" label="Drawings">
          <menu id="StaticCargoMenu" label="Static Cargo" size="large" image="box">
            <button id="RectangleStaticCargoBox" label="Rectangle Shape" onAction="App.Main" image="box"/>
            <button id="CalloutStaticCargoBox" label="Callout Shape" onAction="App.Main" image="box"/>
          </menu>
          <button id="AddInfoBox" label="Add Info Box" size="large" onAction="CargoBox.AddInfoBoxAction" image="info"/>
          <button id="SetDestinationButton" label="Set Destination" size="large" onAction="MainDeckModule.SetDestinationPortAction" image="pallet"/>
          <button id="UnloadPortsButton" label="Clear Port(s)" size="large" onAction="ClearPortModule.ClearSelectedPorts" image="forklift"/>
          <button id="ClearSelectionButton" label="Delete Selection" size="large" onAction="ClearPortModule.CleareSelectionAction" image="eraser"/>
          <menu id="CustomShapesMenu" label="Shapes" imageMso="ShapesMoreShapes" size="large">
            <toggleButton label="Rectangle" idMso="ShapeRectangle"/>
            <toggleButton label="Rectangle Callout" idMso="ShapeRoundedRectangularCallout"/>
            <toggleButton label="Free Form" idMso="ShapeFreeform"/>
            <button id="HeadToForeButton" tag="0" label="Head To Fore" onAction="App.Main" imageMso="ShapeRightArrow"/>
            <button id="HeadToAftButton" tag="180" label="Head To Aft" onAction="App.Main" imageMso="ShapeLeftArrow"/>
            <button id="HeadToPortButton" tag="-90" label="Head To Port" onAction="App.Main" imageMso="ShapeUpArrow"/>
            <button id="HeadToStbdButton" tag="90" label="Head To Stbd" onAction="App.Main" imageMso="ShapeDownArrow"/>
          </menu>
        </group>
        <group id="PortsArrangementGroup" label="Ports Arrangement">
          <button id="MoveRowUpButton" label="Move Row Up" tag="Up" size="large" onAction="App.Main" imageMso="ShapeUpArrow"/>
          <button id="MoveRowDownButton" label="Move Row Down" tag="Down" size="large" onAction="App.Main" imageMso="ShapeDownArrow"/>
          <button id="ToggleRowsButton" label="Toggle Rows" size="large" onAction="App.Main" image="show"/>
        </group>
        <group id="DocumentsGroup" label="Documents">
          <button id="BackUpStowagePlanButton" label="Create Backup" size="large" onAction="App.Main" image="backup"/>
          <button id="ExportDeparturePlanButton" label="Export Departure Plan" size="large" onAction="App.Main" image="cargo"/>
          <button id="PreArrivalButton" label="Create Pre-Arrival Plan" size="large" onAction="App.Main" image="checklist"/>
          <button id="ExportDischargePlanButton" label="Export Discharge Plan" size="large" onAction="App.Main" image="crane"/>
        </group>
        <group idMso="GroupFont"/>
        <group idMso="GroupAlignmentExcel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5</vt:i4>
      </vt:variant>
      <vt:variant>
        <vt:lpstr>Наименувани диапазони</vt:lpstr>
      </vt:variant>
      <vt:variant>
        <vt:i4>19</vt:i4>
      </vt:variant>
    </vt:vector>
  </HeadingPairs>
  <TitlesOfParts>
    <vt:vector size="24" baseType="lpstr">
      <vt:lpstr>Stowage Plan</vt:lpstr>
      <vt:lpstr>Main Deck</vt:lpstr>
      <vt:lpstr>Panel Plan</vt:lpstr>
      <vt:lpstr>Hatch Summary</vt:lpstr>
      <vt:lpstr>Ramps Arrangement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UPPER_DECK</vt:lpstr>
      <vt:lpstr>'Stowage Plan'!Област_печат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2020-10-26T06:27:38Z</cp:lastPrinted>
  <dcterms:created xsi:type="dcterms:W3CDTF">2015-10-05T22:40:48Z</dcterms:created>
  <dcterms:modified xsi:type="dcterms:W3CDTF">2020-10-28T03:57:26Z</dcterms:modified>
</cp:coreProperties>
</file>