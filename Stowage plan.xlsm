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checked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8f7b3e68beb48c5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owage-plan\"/>
    </mc:Choice>
  </mc:AlternateContent>
  <bookViews>
    <workbookView xWindow="-120" yWindow="-120" windowWidth="29040" windowHeight="15840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  <sheet name="Transit Cargo Manifest" sheetId="57" r:id="rId6"/>
  </sheets>
  <functionGroups builtInGroupCount="18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_xlnm.Print_Area" localSheetId="1">'Main Deck'!$A$1:$W$48</definedName>
    <definedName name="_xlnm.Print_Area" localSheetId="2">'Panel Plan'!$A$1:$Q$36</definedName>
    <definedName name="_xlnm.Print_Area" localSheetId="4">'Ramps Arrangement'!$A$1:$AU$42</definedName>
    <definedName name="_xlnm.Print_Area" localSheetId="0">'Stowage Plan'!$A$1:$DE$145</definedName>
    <definedName name="_xlnm.Print_Area" localSheetId="5">'Transit Cargo Manifest'!$A$1:$J$22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사랑" hidden="1">{"'Hatch06'!$AI$25","'Hatch06'!$A$1:$BD$38"}</definedName>
  </definedNames>
  <calcPr calcId="162913"/>
  <fileRecoveryPr autoRecover="0"/>
</workbook>
</file>

<file path=xl/calcChain.xml><?xml version="1.0" encoding="utf-8"?>
<calcChain xmlns="http://schemas.openxmlformats.org/spreadsheetml/2006/main">
  <c r="Q25" i="53" l="1"/>
  <c r="CS26" i="53"/>
  <c r="CT142" i="53" s="1"/>
  <c r="CN9" i="53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23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23" i="53"/>
  <c r="BY25" i="53"/>
  <c r="BO25" i="53"/>
  <c r="BE25" i="53"/>
  <c r="CD25" i="53"/>
  <c r="BT25" i="53"/>
  <c r="BJ25" i="53"/>
  <c r="AZ25" i="53"/>
  <c r="AU25" i="53"/>
  <c r="T25" i="53"/>
  <c r="W25" i="53"/>
  <c r="Z25" i="53"/>
  <c r="AC25" i="53"/>
  <c r="AF25" i="53"/>
  <c r="AI25" i="53"/>
  <c r="AL25" i="53"/>
  <c r="AO25" i="53"/>
  <c r="AR25" i="53"/>
  <c r="H4" i="58"/>
  <c r="AV4" i="58"/>
  <c r="AR4" i="58"/>
  <c r="AN4" i="58"/>
  <c r="AJ4" i="58"/>
  <c r="AF4" i="58"/>
  <c r="AB4" i="58"/>
  <c r="X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J19" i="57"/>
  <c r="I19" i="57"/>
  <c r="H19" i="57"/>
  <c r="G19" i="57"/>
  <c r="CX26" i="53"/>
  <c r="CT143" i="53" s="1"/>
  <c r="D8" i="58"/>
  <c r="DC124" i="53" a="1"/>
  <c r="BQ142" i="53" a="1"/>
  <c r="CL142" i="53" a="1"/>
  <c r="G8" i="58"/>
  <c r="DC49" i="53" a="1"/>
  <c r="AR142" i="53" a="1"/>
  <c r="DC69" i="53" a="1"/>
  <c r="E8" i="58"/>
  <c r="P142" i="53" a="1"/>
  <c r="DC96" i="53" a="1"/>
  <c r="F7" i="58"/>
  <c r="F8" i="58"/>
  <c r="DC31" i="53" a="1"/>
  <c r="DC78" i="53" a="1"/>
  <c r="DC87" i="53" a="1"/>
  <c r="DC133" i="53" a="1"/>
  <c r="D7" i="58"/>
  <c r="DC58" i="53" a="1"/>
  <c r="G7" i="58"/>
  <c r="DC115" i="53" a="1"/>
  <c r="DC106" i="53" a="1"/>
  <c r="DC40" i="53" a="1"/>
  <c r="E7" i="58"/>
  <c r="AP26" i="53" l="1"/>
  <c r="CN26" i="53"/>
  <c r="CI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CT140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1" i="53" l="1"/>
</calcChain>
</file>

<file path=xl/sharedStrings.xml><?xml version="1.0" encoding="utf-8"?>
<sst xmlns="http://schemas.openxmlformats.org/spreadsheetml/2006/main" count="267" uniqueCount="146">
  <si>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</si>
  <si>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</si>
  <si>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</si>
  <si>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</si>
  <si>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</si>
  <si>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</si>
  <si>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</si>
  <si>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</si>
  <si>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</si>
  <si>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</si>
  <si>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</si>
  <si>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</si>
  <si>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</si>
  <si>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</si>
  <si>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</si>
  <si>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</si>
  <si>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</si>
  <si>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</si>
  <si>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</si>
  <si>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</si>
  <si>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</si>
  <si>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</si>
  <si>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</si>
  <si>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</si>
  <si>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</si>
  <si>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</si>
  <si>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</si>
  <si>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</si>
  <si>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</si>
  <si>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</si>
  <si>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</si>
  <si>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</si>
  <si>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</si>
  <si>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</si>
  <si>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</si>
  <si>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</si>
  <si>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</si>
  <si>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</si>
  <si>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</si>
  <si>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</si>
  <si>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</si>
  <si>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</si>
  <si>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</si>
  <si>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</si>
  <si>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</si>
  <si>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</si>
  <si>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</si>
  <si>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</si>
  <si>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</si>
  <si>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</si>
  <si>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</si>
  <si>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</si>
  <si>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</si>
  <si>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</si>
  <si>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</si>
  <si>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</si>
  <si>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</si>
  <si>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</si>
  <si>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</si>
  <si>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</si>
  <si>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</si>
  <si>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</si>
  <si>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</si>
  <si>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</si>
  <si>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</si>
  <si>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</si>
  <si>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</si>
  <si>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</si>
  <si>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</si>
  <si>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</si>
  <si>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</si>
  <si>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</si>
  <si>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</si>
  <si>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</si>
  <si>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</si>
  <si>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</si>
  <si>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</si>
  <si>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</si>
  <si>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</si>
  <si>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</si>
  <si>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</si>
  <si>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</si>
  <si>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</si>
  <si>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</si>
  <si>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</si>
  <si>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</si>
  <si>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</si>
  <si>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</si>
  <si>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</si>
  <si>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</si>
  <si>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</si>
  <si>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</si>
  <si>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</si>
  <si>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</si>
  <si>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MELBOURNE</t>
  </si>
  <si>
    <t>MEL</t>
  </si>
  <si>
    <t>FREMANTLE</t>
  </si>
  <si>
    <t>FRE</t>
  </si>
  <si>
    <t>SINGAPORE</t>
  </si>
  <si>
    <t>SIN</t>
  </si>
  <si>
    <t>M/V HORIZON HIGHWAY</t>
  </si>
  <si>
    <t>PORT:</t>
  </si>
  <si>
    <t>SUEZ CANAL</t>
  </si>
  <si>
    <t>NATIONALITY:</t>
  </si>
  <si>
    <t>PANAMA</t>
  </si>
  <si>
    <t>DATE:</t>
  </si>
  <si>
    <t>IMO No:</t>
  </si>
  <si>
    <r>
      <t xml:space="preserve">                                           </t>
    </r>
    <r>
      <rPr>
        <b/>
        <u/>
        <sz val="16"/>
        <rFont val="Arial"/>
        <family val="2"/>
      </rPr>
      <t>T R A N S I T   C A R G O  M A N I F E S T</t>
    </r>
  </si>
  <si>
    <t>M/V "HORIZON HIGHWAY"</t>
  </si>
  <si>
    <t>VOY: 035A</t>
  </si>
  <si>
    <t>No.</t>
  </si>
  <si>
    <t>PORT OF LOADING</t>
  </si>
  <si>
    <t>PORT OF DISCHARGING</t>
  </si>
  <si>
    <t>DESCRIPTION OF GOODS</t>
  </si>
  <si>
    <t>UNITS NUMBER</t>
  </si>
  <si>
    <t>GROSS WEIGHT (M/T)</t>
  </si>
  <si>
    <t>PKG'S</t>
  </si>
  <si>
    <t>P'KGS</t>
  </si>
  <si>
    <t>M/T</t>
  </si>
  <si>
    <t>OMAEZAKI , JAPAN</t>
  </si>
  <si>
    <t>PIREAUS (GREECE), LIVORNO (ITALY),  ZEEBRUGGE (BELGIUM), BREMERHAVEN (GERMANY)</t>
  </si>
  <si>
    <t>MOTOR VEHICLES</t>
  </si>
  <si>
    <t>YOKOHAMA , JAPAN</t>
  </si>
  <si>
    <t>PIREAUS (GREECE), LIVORNO (ITALY), BRISTOL (UK), ZEEBRUGGE (BELGIUM), AMSTERDAM (NETHERLANDS), BREMERHAVEN (GERMANY)</t>
  </si>
  <si>
    <t>MOTOR VEHICLES / EXCAVATORS</t>
  </si>
  <si>
    <t>GAMAGORI , JAPAN</t>
  </si>
  <si>
    <t>BRISTOL (UK), ZEEBRUGGE (BELGIUM), BREMERHAVEN (GERMANY)</t>
  </si>
  <si>
    <t>YOKKAICHI , JAPAN</t>
  </si>
  <si>
    <t>PIREAUS (GREECE), ZEEBRUGGE (BELGIUM), BREMERHAVEN (GERMANY)</t>
  </si>
  <si>
    <t>HIGASHIHARIMA , JAPAN</t>
  </si>
  <si>
    <t>MOTOR VEHICLES / EXCAVATORS AND SPARE PARTS</t>
  </si>
  <si>
    <t>SINGAPORE, SINGAPORE</t>
  </si>
  <si>
    <t>MOTOR VEHICLES / EXCAVATOR AND SPARE PARTS</t>
  </si>
  <si>
    <t>TOTAL:</t>
  </si>
  <si>
    <t>MASTER:</t>
  </si>
  <si>
    <t>Capt. D.V. UZUNOV</t>
  </si>
  <si>
    <t xml:space="preserve">SUMMARY  OF  LOADING  CARGOES </t>
  </si>
  <si>
    <t>U/T</t>
  </si>
  <si>
    <t>JEBEL ALI</t>
  </si>
  <si>
    <t>LEAM CHABANG</t>
  </si>
  <si>
    <t>MT</t>
  </si>
  <si>
    <r>
      <rPr>
        <sz val="11"/>
        <color theme="0"/>
        <rFont val="Arial"/>
        <family val="2"/>
      </rPr>
      <t>111111111111111111111</t>
    </r>
    <r>
      <rPr>
        <sz val="11"/>
        <rFont val="Arial"/>
        <family val="2"/>
      </rPr>
      <t>Disch. port
Loading port</t>
    </r>
  </si>
  <si>
    <t>"K" LINE</t>
  </si>
  <si>
    <t>DRW / LCH</t>
  </si>
  <si>
    <t>LAEM CHABANG</t>
  </si>
  <si>
    <t>080A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</si>
</sst>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kt&quot;"/>
  </numFmts>
  <fonts count="52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charset val="128"/>
    </font>
    <font>
      <b/>
      <sz val="11"/>
      <name val="Arial"/>
      <family val="2"/>
    </font>
    <font>
      <b/>
      <sz val="16"/>
      <name val="Arial"/>
      <family val="2"/>
    </font>
    <font>
      <b/>
      <u/>
      <sz val="16"/>
      <name val="Arial"/>
      <family val="2"/>
    </font>
    <font>
      <b/>
      <sz val="14"/>
      <name val="Arial"/>
      <family val="2"/>
      <charset val="204"/>
    </font>
    <font>
      <sz val="12"/>
      <name val="Arial"/>
      <family val="2"/>
    </font>
    <font>
      <sz val="12"/>
      <name val="Arial"/>
      <family val="2"/>
      <charset val="204"/>
    </font>
    <font>
      <b/>
      <sz val="9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 style="thin">
        <color indexed="64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44" fillId="0" borderId="0">
      <alignment vertical="center"/>
    </xf>
  </cellStyleXfs>
  <cellXfs count="663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6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4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20" borderId="7" xfId="0" applyNumberFormat="1" applyFont="1" applyFill="1" applyBorder="1" applyAlignment="1">
      <alignment horizontal="center" vertical="center"/>
    </xf>
    <xf numFmtId="0" fontId="15" fillId="20" borderId="4" xfId="0" applyNumberFormat="1" applyFont="1" applyFill="1" applyBorder="1" applyAlignment="1">
      <alignment horizontal="center" vertical="center"/>
    </xf>
    <xf numFmtId="0" fontId="15" fillId="20" borderId="1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7" fillId="0" borderId="0" xfId="9" applyFont="1"/>
    <xf numFmtId="0" fontId="36" fillId="0" borderId="0" xfId="9"/>
    <xf numFmtId="0" fontId="36" fillId="0" borderId="0" xfId="9" applyAlignment="1">
      <alignment horizontal="right"/>
    </xf>
    <xf numFmtId="0" fontId="37" fillId="0" borderId="0" xfId="9" applyFont="1" applyAlignment="1">
      <alignment horizontal="left"/>
    </xf>
    <xf numFmtId="0" fontId="36" fillId="0" borderId="0" xfId="9" applyAlignment="1">
      <alignment horizontal="left"/>
    </xf>
    <xf numFmtId="0" fontId="38" fillId="0" borderId="0" xfId="9" applyFont="1" applyAlignment="1">
      <alignment vertical="center"/>
    </xf>
    <xf numFmtId="0" fontId="40" fillId="0" borderId="0" xfId="9" applyFont="1"/>
    <xf numFmtId="0" fontId="9" fillId="0" borderId="91" xfId="9" applyFont="1" applyFill="1" applyBorder="1" applyAlignment="1">
      <alignment horizontal="center"/>
    </xf>
    <xf numFmtId="0" fontId="41" fillId="0" borderId="90" xfId="9" applyFont="1" applyBorder="1" applyAlignment="1">
      <alignment horizontal="center" vertical="center"/>
    </xf>
    <xf numFmtId="0" fontId="41" fillId="0" borderId="17" xfId="9" applyFont="1" applyBorder="1" applyAlignment="1">
      <alignment horizontal="center" vertical="center" wrapText="1"/>
    </xf>
    <xf numFmtId="0" fontId="41" fillId="0" borderId="17" xfId="9" applyFont="1" applyBorder="1" applyAlignment="1">
      <alignment horizontal="center" vertical="center"/>
    </xf>
    <xf numFmtId="168" fontId="41" fillId="0" borderId="17" xfId="9" applyNumberFormat="1" applyFont="1" applyBorder="1" applyAlignment="1">
      <alignment horizontal="center" vertical="center"/>
    </xf>
    <xf numFmtId="1" fontId="41" fillId="0" borderId="17" xfId="9" applyNumberFormat="1" applyFont="1" applyBorder="1" applyAlignment="1">
      <alignment horizontal="center" vertical="center"/>
    </xf>
    <xf numFmtId="0" fontId="41" fillId="0" borderId="90" xfId="9" applyFont="1" applyBorder="1" applyAlignment="1">
      <alignment horizontal="center" vertical="center" wrapText="1"/>
    </xf>
    <xf numFmtId="168" fontId="41" fillId="0" borderId="90" xfId="9" applyNumberFormat="1" applyFont="1" applyBorder="1" applyAlignment="1">
      <alignment horizontal="center" vertical="center"/>
    </xf>
    <xf numFmtId="0" fontId="3" fillId="0" borderId="33" xfId="9" applyFont="1" applyBorder="1" applyAlignment="1">
      <alignment vertical="center"/>
    </xf>
    <xf numFmtId="0" fontId="9" fillId="0" borderId="33" xfId="9" applyFont="1" applyBorder="1" applyAlignment="1">
      <alignment horizontal="right" vertical="center"/>
    </xf>
    <xf numFmtId="0" fontId="9" fillId="0" borderId="33" xfId="9" applyFont="1" applyBorder="1" applyAlignment="1">
      <alignment horizontal="center" vertical="center"/>
    </xf>
    <xf numFmtId="168" fontId="9" fillId="0" borderId="33" xfId="9" applyNumberFormat="1" applyFont="1" applyBorder="1" applyAlignment="1">
      <alignment horizontal="center" vertical="center"/>
    </xf>
    <xf numFmtId="1" fontId="9" fillId="0" borderId="33" xfId="9" applyNumberFormat="1" applyFont="1" applyBorder="1" applyAlignment="1">
      <alignment horizontal="center" vertical="center"/>
    </xf>
    <xf numFmtId="0" fontId="36" fillId="0" borderId="0" xfId="9" applyBorder="1" applyAlignment="1">
      <alignment vertical="center"/>
    </xf>
    <xf numFmtId="0" fontId="36" fillId="0" borderId="0" xfId="9" applyBorder="1" applyAlignment="1">
      <alignment horizontal="right" vertical="center"/>
    </xf>
    <xf numFmtId="0" fontId="36" fillId="0" borderId="9" xfId="9" applyBorder="1" applyAlignment="1">
      <alignment vertical="center"/>
    </xf>
    <xf numFmtId="0" fontId="36" fillId="0" borderId="0" xfId="9" applyAlignment="1">
      <alignment vertical="center"/>
    </xf>
    <xf numFmtId="0" fontId="43" fillId="0" borderId="0" xfId="9" applyFont="1" applyAlignment="1">
      <alignment horizontal="left"/>
    </xf>
    <xf numFmtId="169" fontId="45" fillId="0" borderId="0" xfId="1" applyNumberFormat="1" applyFont="1" applyFill="1" applyBorder="1" applyAlignment="1" applyProtection="1">
      <alignment horizontal="center" vertical="center"/>
      <protection locked="0"/>
    </xf>
    <xf numFmtId="0" fontId="46" fillId="0" borderId="0" xfId="10" applyFont="1">
      <alignment vertical="center"/>
    </xf>
    <xf numFmtId="0" fontId="47" fillId="0" borderId="0" xfId="10" applyFont="1" applyFill="1" applyBorder="1" applyAlignment="1">
      <alignment vertical="center"/>
    </xf>
    <xf numFmtId="0" fontId="46" fillId="0" borderId="0" xfId="10" applyFont="1" applyBorder="1">
      <alignment vertical="center"/>
    </xf>
    <xf numFmtId="0" fontId="15" fillId="0" borderId="0" xfId="0" applyFont="1">
      <alignment vertical="center"/>
    </xf>
    <xf numFmtId="0" fontId="46" fillId="0" borderId="0" xfId="10" applyFont="1" applyFill="1" applyBorder="1">
      <alignment vertical="center"/>
    </xf>
    <xf numFmtId="0" fontId="46" fillId="0" borderId="0" xfId="10" applyFont="1" applyFill="1">
      <alignment vertical="center"/>
    </xf>
    <xf numFmtId="0" fontId="46" fillId="0" borderId="0" xfId="10" applyFont="1" applyFill="1" applyAlignment="1">
      <alignment horizontal="center" vertical="center"/>
    </xf>
    <xf numFmtId="0" fontId="46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41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6" fillId="0" borderId="0" xfId="10" applyFont="1" applyFill="1" applyBorder="1" applyAlignment="1">
      <alignment horizontal="center" vertical="center" wrapText="1"/>
    </xf>
    <xf numFmtId="0" fontId="46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6" fillId="0" borderId="92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7" fillId="0" borderId="0" xfId="10" applyFont="1" applyFill="1" applyBorder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48" fillId="0" borderId="0" xfId="10" applyFont="1" applyFill="1" applyBorder="1" applyAlignment="1">
      <alignment vertical="center"/>
    </xf>
    <xf numFmtId="0" fontId="49" fillId="23" borderId="92" xfId="10" applyFont="1" applyFill="1" applyBorder="1" applyAlignment="1">
      <alignment horizontal="center" vertical="center"/>
    </xf>
    <xf numFmtId="0" fontId="49" fillId="0" borderId="92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41" fillId="0" borderId="92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41" fillId="0" borderId="94" xfId="10" applyFont="1" applyFill="1" applyBorder="1" applyAlignment="1">
      <alignment horizontal="center" vertical="center"/>
    </xf>
    <xf numFmtId="0" fontId="41" fillId="0" borderId="95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4" borderId="0" xfId="0" applyFont="1" applyFill="1">
      <alignment vertical="center"/>
    </xf>
    <xf numFmtId="0" fontId="15" fillId="24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left" vertical="center"/>
    </xf>
    <xf numFmtId="0" fontId="15" fillId="18" borderId="7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18" borderId="5" xfId="0" applyNumberFormat="1" applyFont="1" applyFill="1" applyBorder="1" applyAlignment="1">
      <alignment horizontal="center" vertical="center"/>
    </xf>
    <xf numFmtId="0" fontId="15" fillId="18" borderId="1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Alignment="1">
      <alignment horizontal="center" vertical="center"/>
    </xf>
    <xf numFmtId="0" fontId="15" fillId="18" borderId="2" xfId="0" applyNumberFormat="1" applyFont="1" applyFill="1" applyBorder="1" applyAlignment="1">
      <alignment horizontal="center" vertical="center"/>
    </xf>
    <xf numFmtId="0" fontId="19" fillId="18" borderId="0" xfId="0" applyNumberFormat="1" applyFont="1" applyFill="1" applyBorder="1" applyAlignment="1">
      <alignment horizontal="left" vertical="center"/>
    </xf>
    <xf numFmtId="0" fontId="15" fillId="18" borderId="12" xfId="0" applyNumberFormat="1" applyFont="1" applyFill="1" applyBorder="1" applyAlignment="1">
      <alignment horizontal="center" vertical="center"/>
    </xf>
    <xf numFmtId="0" fontId="15" fillId="18" borderId="13" xfId="0" applyNumberFormat="1" applyFont="1" applyFill="1" applyBorder="1" applyAlignment="1">
      <alignment horizontal="center" vertical="center"/>
    </xf>
    <xf numFmtId="0" fontId="15" fillId="18" borderId="14" xfId="0" applyNumberFormat="1" applyFont="1" applyFill="1" applyBorder="1" applyAlignment="1">
      <alignment horizontal="center" vertical="center"/>
    </xf>
    <xf numFmtId="0" fontId="15" fillId="18" borderId="8" xfId="0" applyNumberFormat="1" applyFont="1" applyFill="1" applyBorder="1" applyAlignment="1">
      <alignment horizontal="center" vertical="center"/>
    </xf>
    <xf numFmtId="0" fontId="15" fillId="18" borderId="9" xfId="0" applyNumberFormat="1" applyFont="1" applyFill="1" applyBorder="1" applyAlignment="1">
      <alignment horizontal="center" vertical="center"/>
    </xf>
    <xf numFmtId="0" fontId="15" fillId="18" borderId="10" xfId="0" applyNumberFormat="1" applyFont="1" applyFill="1" applyBorder="1" applyAlignment="1">
      <alignment horizontal="center" vertical="center"/>
    </xf>
    <xf numFmtId="0" fontId="51" fillId="0" borderId="0" xfId="0" applyFont="1">
      <alignment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0" borderId="113" xfId="0" applyNumberFormat="1" applyFont="1" applyBorder="1" applyAlignment="1">
      <alignment vertical="center"/>
    </xf>
    <xf numFmtId="0" fontId="15" fillId="0" borderId="114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horizontal="center" vertical="center"/>
    </xf>
    <xf numFmtId="0" fontId="15" fillId="0" borderId="117" xfId="0" applyNumberFormat="1" applyFont="1" applyBorder="1" applyAlignment="1">
      <alignment horizontal="center" vertical="center"/>
    </xf>
    <xf numFmtId="0" fontId="15" fillId="0" borderId="118" xfId="0" applyNumberFormat="1" applyFont="1" applyBorder="1" applyAlignment="1">
      <alignment vertical="center"/>
    </xf>
    <xf numFmtId="0" fontId="15" fillId="0" borderId="119" xfId="0" applyNumberFormat="1" applyFont="1" applyBorder="1" applyAlignment="1">
      <alignment vertical="center"/>
    </xf>
    <xf numFmtId="0" fontId="15" fillId="0" borderId="119" xfId="0" applyNumberFormat="1" applyFont="1" applyBorder="1" applyAlignment="1">
      <alignment horizontal="center" vertical="center"/>
    </xf>
    <xf numFmtId="0" fontId="15" fillId="0" borderId="120" xfId="0" applyNumberFormat="1" applyFont="1" applyBorder="1" applyAlignment="1">
      <alignment horizontal="center" vertical="center"/>
    </xf>
    <xf numFmtId="170" fontId="50" fillId="18" borderId="0" xfId="0" applyNumberFormat="1" applyFont="1" applyFill="1" applyBorder="1" applyAlignment="1">
      <alignment horizontal="center" vertical="center"/>
    </xf>
    <xf numFmtId="0" fontId="50" fillId="18" borderId="0" xfId="0" applyNumberFormat="1" applyFont="1" applyFill="1" applyBorder="1" applyAlignment="1">
      <alignment horizontal="center" vertical="center"/>
    </xf>
    <xf numFmtId="171" fontId="50" fillId="18" borderId="0" xfId="0" applyNumberFormat="1" applyFont="1" applyFill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22" borderId="17" xfId="0" applyFont="1" applyFill="1" applyBorder="1" applyAlignment="1">
      <alignment horizontal="center" vertical="center"/>
    </xf>
    <xf numFmtId="0" fontId="8" fillId="22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15" borderId="90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20" fillId="12" borderId="27" xfId="0" applyFont="1" applyFill="1" applyBorder="1" applyAlignment="1">
      <alignment horizontal="center" vertical="center"/>
    </xf>
    <xf numFmtId="0" fontId="20" fillId="12" borderId="28" xfId="0" applyFont="1" applyFill="1" applyBorder="1" applyAlignment="1">
      <alignment horizontal="center" vertical="center"/>
    </xf>
    <xf numFmtId="0" fontId="20" fillId="12" borderId="29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9" fillId="9" borderId="34" xfId="0" applyFont="1" applyFill="1" applyBorder="1" applyAlignment="1">
      <alignment horizontal="center" vertical="center"/>
    </xf>
    <xf numFmtId="0" fontId="9" fillId="15" borderId="90" xfId="0" applyFont="1" applyFill="1" applyBorder="1" applyAlignment="1">
      <alignment horizontal="center" vertical="center"/>
    </xf>
    <xf numFmtId="168" fontId="6" fillId="12" borderId="27" xfId="0" applyNumberFormat="1" applyFont="1" applyFill="1" applyBorder="1" applyAlignment="1">
      <alignment horizontal="center" vertical="center"/>
    </xf>
    <xf numFmtId="168" fontId="6" fillId="12" borderId="28" xfId="0" applyNumberFormat="1" applyFont="1" applyFill="1" applyBorder="1" applyAlignment="1">
      <alignment horizontal="center" vertical="center"/>
    </xf>
    <xf numFmtId="168" fontId="6" fillId="12" borderId="29" xfId="0" applyNumberFormat="1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15" borderId="90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15" borderId="105" xfId="0" applyNumberFormat="1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0" fontId="8" fillId="13" borderId="17" xfId="0" applyFont="1" applyFill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15" borderId="104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2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80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15" borderId="87" xfId="0" applyFont="1" applyFill="1" applyBorder="1" applyAlignment="1">
      <alignment horizontal="center" vertical="center"/>
    </xf>
    <xf numFmtId="0" fontId="8" fillId="15" borderId="13" xfId="0" applyFont="1" applyFill="1" applyBorder="1" applyAlignment="1">
      <alignment horizontal="center" vertical="center"/>
    </xf>
    <xf numFmtId="0" fontId="8" fillId="15" borderId="14" xfId="0" applyFont="1" applyFill="1" applyBorder="1" applyAlignment="1">
      <alignment horizontal="center" vertical="center"/>
    </xf>
    <xf numFmtId="0" fontId="8" fillId="15" borderId="105" xfId="0" applyFont="1" applyFill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8" fillId="18" borderId="34" xfId="0" applyFont="1" applyFill="1" applyBorder="1" applyAlignment="1">
      <alignment horizontal="center" vertical="center"/>
    </xf>
    <xf numFmtId="0" fontId="8" fillId="22" borderId="51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2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7" borderId="36" xfId="0" applyFont="1" applyFill="1" applyBorder="1" applyAlignment="1">
      <alignment horizontal="center" vertical="center"/>
    </xf>
    <xf numFmtId="0" fontId="9" fillId="4" borderId="55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0" fontId="8" fillId="18" borderId="111" xfId="0" applyFont="1" applyFill="1" applyBorder="1" applyAlignment="1">
      <alignment horizontal="center" vertical="center"/>
    </xf>
    <xf numFmtId="0" fontId="8" fillId="18" borderId="85" xfId="0" applyFont="1" applyFill="1" applyBorder="1" applyAlignment="1">
      <alignment horizontal="center" vertical="center"/>
    </xf>
    <xf numFmtId="0" fontId="8" fillId="18" borderId="112" xfId="0" applyFont="1" applyFill="1" applyBorder="1" applyAlignment="1">
      <alignment horizontal="center" vertical="center"/>
    </xf>
    <xf numFmtId="0" fontId="8" fillId="22" borderId="37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25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13" borderId="37" xfId="0" applyFont="1" applyFill="1" applyBorder="1" applyAlignment="1">
      <alignment horizontal="center" vertic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8" fillId="21" borderId="17" xfId="0" applyFont="1" applyFill="1" applyBorder="1" applyAlignment="1">
      <alignment horizontal="center" vertical="center"/>
    </xf>
    <xf numFmtId="0" fontId="8" fillId="18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/>
    </xf>
    <xf numFmtId="0" fontId="8" fillId="18" borderId="81" xfId="0" applyFont="1" applyFill="1" applyBorder="1" applyAlignment="1">
      <alignment horizontal="center" vertical="center"/>
    </xf>
    <xf numFmtId="0" fontId="8" fillId="22" borderId="18" xfId="0" applyFont="1" applyFill="1" applyBorder="1" applyAlignment="1">
      <alignment horizontal="center" vertical="center"/>
    </xf>
    <xf numFmtId="0" fontId="8" fillId="22" borderId="38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3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8" fillId="13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1" xfId="0" applyFont="1" applyFill="1" applyBorder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0" fontId="8" fillId="15" borderId="103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20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5" borderId="17" xfId="0" applyNumberFormat="1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0" xfId="0" applyFont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168" fontId="9" fillId="18" borderId="34" xfId="0" applyNumberFormat="1" applyFont="1" applyFill="1" applyBorder="1" applyAlignment="1">
      <alignment horizontal="center" vertical="center"/>
    </xf>
    <xf numFmtId="0" fontId="9" fillId="18" borderId="34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center" vertical="center"/>
    </xf>
    <xf numFmtId="0" fontId="9" fillId="18" borderId="9" xfId="0" applyFont="1" applyFill="1" applyBorder="1" applyAlignment="1">
      <alignment horizontal="center" vertical="center"/>
    </xf>
    <xf numFmtId="0" fontId="9" fillId="18" borderId="10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6" fillId="12" borderId="27" xfId="0" applyFont="1" applyFill="1" applyBorder="1" applyAlignment="1">
      <alignment horizontal="center" vertical="center"/>
    </xf>
    <xf numFmtId="0" fontId="6" fillId="12" borderId="28" xfId="0" applyFont="1" applyFill="1" applyBorder="1" applyAlignment="1">
      <alignment horizontal="center" vertical="center"/>
    </xf>
    <xf numFmtId="0" fontId="6" fillId="12" borderId="29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15" borderId="104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22" borderId="51" xfId="0" applyFont="1" applyFill="1" applyBorder="1" applyAlignment="1">
      <alignment horizontal="center" vertical="center"/>
    </xf>
    <xf numFmtId="0" fontId="9" fillId="22" borderId="17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3" borderId="17" xfId="0" applyNumberFormat="1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168" fontId="9" fillId="22" borderId="17" xfId="0" applyNumberFormat="1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13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4" borderId="34" xfId="0" applyNumberFormat="1" applyFont="1" applyFill="1" applyBorder="1" applyAlignment="1">
      <alignment horizontal="center" vertical="center"/>
    </xf>
    <xf numFmtId="168" fontId="9" fillId="4" borderId="56" xfId="0" applyNumberFormat="1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20" fillId="12" borderId="27" xfId="0" applyNumberFormat="1" applyFont="1" applyFill="1" applyBorder="1" applyAlignment="1">
      <alignment horizontal="center" vertical="center"/>
    </xf>
    <xf numFmtId="168" fontId="20" fillId="12" borderId="28" xfId="0" applyNumberFormat="1" applyFont="1" applyFill="1" applyBorder="1" applyAlignment="1">
      <alignment horizontal="center" vertical="center"/>
    </xf>
    <xf numFmtId="168" fontId="20" fillId="12" borderId="29" xfId="0" applyNumberFormat="1" applyFont="1" applyFill="1" applyBorder="1" applyAlignment="1">
      <alignment horizontal="center" vertical="center"/>
    </xf>
    <xf numFmtId="166" fontId="8" fillId="10" borderId="27" xfId="1" applyNumberFormat="1" applyFont="1" applyFill="1" applyBorder="1" applyAlignment="1">
      <alignment horizontal="center"/>
    </xf>
    <xf numFmtId="166" fontId="8" fillId="10" borderId="28" xfId="1" applyNumberFormat="1" applyFont="1" applyFill="1" applyBorder="1" applyAlignment="1">
      <alignment horizontal="center"/>
    </xf>
    <xf numFmtId="166" fontId="8" fillId="10" borderId="29" xfId="1" applyNumberFormat="1" applyFont="1" applyFill="1" applyBorder="1" applyAlignment="1">
      <alignment horizontal="center"/>
    </xf>
    <xf numFmtId="165" fontId="8" fillId="10" borderId="27" xfId="1" applyNumberFormat="1" applyFont="1" applyFill="1" applyBorder="1" applyAlignment="1">
      <alignment horizontal="center"/>
    </xf>
    <xf numFmtId="165" fontId="8" fillId="10" borderId="28" xfId="1" applyNumberFormat="1" applyFont="1" applyFill="1" applyBorder="1" applyAlignment="1">
      <alignment horizontal="center"/>
    </xf>
    <xf numFmtId="165" fontId="8" fillId="10" borderId="29" xfId="1" applyNumberFormat="1" applyFont="1" applyFill="1" applyBorder="1" applyAlignment="1">
      <alignment horizontal="center"/>
    </xf>
    <xf numFmtId="167" fontId="8" fillId="10" borderId="27" xfId="1" applyNumberFormat="1" applyFont="1" applyFill="1" applyBorder="1" applyAlignment="1">
      <alignment horizontal="center"/>
    </xf>
    <xf numFmtId="167" fontId="8" fillId="10" borderId="28" xfId="1" applyNumberFormat="1" applyFont="1" applyFill="1" applyBorder="1" applyAlignment="1">
      <alignment horizontal="center"/>
    </xf>
    <xf numFmtId="167" fontId="8" fillId="10" borderId="29" xfId="1" applyNumberFormat="1" applyFont="1" applyFill="1" applyBorder="1" applyAlignment="1">
      <alignment horizontal="center"/>
    </xf>
    <xf numFmtId="166" fontId="9" fillId="9" borderId="27" xfId="1" applyNumberFormat="1" applyFont="1" applyFill="1" applyBorder="1" applyAlignment="1">
      <alignment horizontal="center"/>
    </xf>
    <xf numFmtId="166" fontId="9" fillId="9" borderId="28" xfId="1" applyNumberFormat="1" applyFont="1" applyFill="1" applyBorder="1" applyAlignment="1">
      <alignment horizontal="center"/>
    </xf>
    <xf numFmtId="166" fontId="9" fillId="9" borderId="29" xfId="1" applyNumberFormat="1" applyFont="1" applyFill="1" applyBorder="1" applyAlignment="1">
      <alignment horizont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5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168" fontId="9" fillId="5" borderId="18" xfId="0" applyNumberFormat="1" applyFont="1" applyFill="1" applyBorder="1" applyAlignment="1">
      <alignment horizontal="center" vertical="center"/>
    </xf>
    <xf numFmtId="168" fontId="9" fillId="5" borderId="24" xfId="0" applyNumberFormat="1" applyFont="1" applyFill="1" applyBorder="1" applyAlignment="1">
      <alignment horizontal="center" vertical="center"/>
    </xf>
    <xf numFmtId="168" fontId="9" fillId="5" borderId="38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168" fontId="9" fillId="21" borderId="36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8" borderId="56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168" fontId="9" fillId="22" borderId="36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168" fontId="9" fillId="18" borderId="56" xfId="0" applyNumberFormat="1" applyFont="1" applyFill="1" applyBorder="1" applyAlignment="1">
      <alignment horizontal="center" vertical="center"/>
    </xf>
    <xf numFmtId="0" fontId="9" fillId="13" borderId="51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5" borderId="87" xfId="0" applyFont="1" applyFill="1" applyBorder="1" applyAlignment="1">
      <alignment horizontal="center" vertical="center"/>
    </xf>
    <xf numFmtId="0" fontId="9" fillId="15" borderId="13" xfId="0" applyFont="1" applyFill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168" fontId="9" fillId="15" borderId="12" xfId="0" applyNumberFormat="1" applyFont="1" applyFill="1" applyBorder="1" applyAlignment="1">
      <alignment horizontal="center" vertical="center"/>
    </xf>
    <xf numFmtId="168" fontId="9" fillId="15" borderId="13" xfId="0" applyNumberFormat="1" applyFont="1" applyFill="1" applyBorder="1" applyAlignment="1">
      <alignment horizontal="center" vertical="center"/>
    </xf>
    <xf numFmtId="168" fontId="9" fillId="15" borderId="103" xfId="0" applyNumberFormat="1" applyFont="1" applyFill="1" applyBorder="1" applyAlignment="1">
      <alignment horizontal="center" vertical="center"/>
    </xf>
    <xf numFmtId="168" fontId="9" fillId="13" borderId="36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13" borderId="37" xfId="0" applyFont="1" applyFill="1" applyBorder="1" applyAlignment="1">
      <alignment horizontal="center" vertical="center"/>
    </xf>
    <xf numFmtId="0" fontId="9" fillId="13" borderId="24" xfId="0" applyFont="1" applyFill="1" applyBorder="1" applyAlignment="1">
      <alignment horizontal="center" vertical="center"/>
    </xf>
    <xf numFmtId="0" fontId="9" fillId="13" borderId="25" xfId="0" applyFont="1" applyFill="1" applyBorder="1" applyAlignment="1">
      <alignment horizontal="center" vertical="center"/>
    </xf>
    <xf numFmtId="168" fontId="9" fillId="13" borderId="18" xfId="0" applyNumberFormat="1" applyFont="1" applyFill="1" applyBorder="1" applyAlignment="1">
      <alignment horizontal="center" vertical="center"/>
    </xf>
    <xf numFmtId="168" fontId="9" fillId="13" borderId="24" xfId="0" applyNumberFormat="1" applyFont="1" applyFill="1" applyBorder="1" applyAlignment="1">
      <alignment horizontal="center" vertical="center"/>
    </xf>
    <xf numFmtId="168" fontId="9" fillId="13" borderId="38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18" borderId="8" xfId="0" applyNumberFormat="1" applyFont="1" applyFill="1" applyBorder="1" applyAlignment="1">
      <alignment horizontal="center" vertical="center"/>
    </xf>
    <xf numFmtId="168" fontId="9" fillId="18" borderId="9" xfId="0" applyNumberFormat="1" applyFont="1" applyFill="1" applyBorder="1" applyAlignment="1">
      <alignment horizontal="center" vertical="center"/>
    </xf>
    <xf numFmtId="168" fontId="9" fillId="18" borderId="81" xfId="0" applyNumberFormat="1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0" fontId="9" fillId="22" borderId="37" xfId="0" applyFont="1" applyFill="1" applyBorder="1" applyAlignment="1">
      <alignment horizontal="center" vertical="center"/>
    </xf>
    <xf numFmtId="0" fontId="9" fillId="22" borderId="24" xfId="0" applyFont="1" applyFill="1" applyBorder="1" applyAlignment="1">
      <alignment horizontal="center" vertical="center"/>
    </xf>
    <xf numFmtId="0" fontId="9" fillId="22" borderId="25" xfId="0" applyFont="1" applyFill="1" applyBorder="1" applyAlignment="1">
      <alignment horizontal="center" vertical="center"/>
    </xf>
    <xf numFmtId="168" fontId="9" fillId="22" borderId="18" xfId="0" applyNumberFormat="1" applyFont="1" applyFill="1" applyBorder="1" applyAlignment="1">
      <alignment horizontal="center" vertical="center"/>
    </xf>
    <xf numFmtId="168" fontId="9" fillId="22" borderId="24" xfId="0" applyNumberFormat="1" applyFont="1" applyFill="1" applyBorder="1" applyAlignment="1">
      <alignment horizontal="center" vertical="center"/>
    </xf>
    <xf numFmtId="168" fontId="9" fillId="22" borderId="38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9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8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6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8" fillId="0" borderId="93" xfId="10" applyFont="1" applyFill="1" applyBorder="1" applyAlignment="1">
      <alignment horizontal="center" vertical="center"/>
    </xf>
    <xf numFmtId="0" fontId="8" fillId="0" borderId="102" xfId="10" applyFont="1" applyFill="1" applyBorder="1" applyAlignment="1">
      <alignment horizontal="center" vertical="center"/>
    </xf>
    <xf numFmtId="0" fontId="9" fillId="0" borderId="99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46" fillId="0" borderId="100" xfId="10" applyFont="1" applyFill="1" applyBorder="1" applyAlignment="1">
      <alignment horizontal="left" vertical="top" wrapText="1"/>
    </xf>
    <xf numFmtId="0" fontId="46" fillId="0" borderId="101" xfId="10" applyFont="1" applyFill="1" applyBorder="1" applyAlignment="1">
      <alignment horizontal="left" vertical="top" wrapText="1"/>
    </xf>
    <xf numFmtId="0" fontId="9" fillId="0" borderId="97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  <xf numFmtId="0" fontId="42" fillId="0" borderId="0" xfId="9" applyFont="1" applyAlignment="1">
      <alignment horizontal="center" vertical="center"/>
    </xf>
    <xf numFmtId="169" fontId="7" fillId="0" borderId="0" xfId="9" applyNumberFormat="1" applyFont="1" applyAlignment="1">
      <alignment horizontal="left"/>
    </xf>
    <xf numFmtId="169" fontId="7" fillId="0" borderId="0" xfId="9" applyNumberFormat="1" applyFont="1" applyAlignment="1"/>
    <xf numFmtId="0" fontId="38" fillId="0" borderId="0" xfId="9" applyFont="1" applyAlignment="1">
      <alignment horizontal="left" vertical="center"/>
    </xf>
    <xf numFmtId="0" fontId="40" fillId="0" borderId="0" xfId="9" applyFont="1" applyAlignment="1">
      <alignment horizontal="left"/>
    </xf>
    <xf numFmtId="0" fontId="9" fillId="0" borderId="90" xfId="9" applyFont="1" applyBorder="1" applyAlignment="1">
      <alignment horizontal="center" vertical="center"/>
    </xf>
    <xf numFmtId="0" fontId="9" fillId="0" borderId="34" xfId="9" applyFont="1" applyBorder="1" applyAlignment="1">
      <alignment horizontal="center" vertical="center"/>
    </xf>
    <xf numFmtId="0" fontId="9" fillId="0" borderId="90" xfId="9" applyFont="1" applyBorder="1" applyAlignment="1">
      <alignment horizontal="center" vertical="center" wrapText="1"/>
    </xf>
    <xf numFmtId="0" fontId="9" fillId="0" borderId="34" xfId="9" applyFont="1" applyBorder="1" applyAlignment="1">
      <alignment horizontal="center" vertical="center" wrapText="1"/>
    </xf>
    <xf numFmtId="0" fontId="9" fillId="0" borderId="17" xfId="9" applyFont="1" applyBorder="1" applyAlignment="1">
      <alignment horizontal="center" vertical="center" wrapText="1"/>
    </xf>
    <xf numFmtId="0" fontId="7" fillId="0" borderId="91" xfId="9" applyFont="1" applyBorder="1" applyAlignment="1">
      <alignment horizontal="center" vertical="center" wrapText="1"/>
    </xf>
  </cellXfs>
  <cellStyles count="11">
    <cellStyle name="Normal" xfId="0" builtinId="0"/>
    <cellStyle name="Normal 2" xfId="1"/>
    <cellStyle name="Normal 2 2" xfId="2"/>
    <cellStyle name="Normal 2 3" xfId="3"/>
    <cellStyle name="Normal 2 4" xfId="4"/>
    <cellStyle name="Normal 3" xfId="5"/>
    <cellStyle name="Normal 4" xfId="9"/>
    <cellStyle name="Normal_05.DOVH Summary Dep SIN 033A" xfId="10"/>
    <cellStyle name="Normal_ERSH Pre-Arr Notice - VOY 033A._04. ERSH-SOUTHAMPTON-PRE-ARRIVAL NOTICE" xfId="8"/>
    <cellStyle name="Percent 2" xfId="6"/>
    <cellStyle name="標準 2" xfId="7"/>
  </cellStyles>
  <dxfs count="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FF66"/>
      <color rgb="FF00FF99"/>
      <color rgb="FFCCFFCC"/>
      <color rgb="FFFFFF99"/>
      <color rgb="FFFF5050"/>
      <color rgb="FF92D050"/>
      <color rgb="FFFF33CC"/>
      <color rgb="FF00B0F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5</xdr:col>
      <xdr:colOff>78158</xdr:colOff>
      <xdr:row>113</xdr:row>
      <xdr:rowOff>189049</xdr:rowOff>
    </xdr:from>
    <xdr:to>
      <xdr:col>7</xdr:col>
      <xdr:colOff>78952</xdr:colOff>
      <xdr:row>115</xdr:row>
      <xdr:rowOff>81179</xdr:rowOff>
    </xdr:to>
    <xdr:pic>
      <xdr:nvPicPr>
        <xdr:cNvPr id="51" name="STOWAGE_PLAN_DEFAULT_SHAPE_64775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42325" y="25017549"/>
          <a:ext cx="381794" cy="3789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12949</xdr:colOff>
      <xdr:row>109</xdr:row>
      <xdr:rowOff>173827</xdr:rowOff>
    </xdr:from>
    <xdr:to>
      <xdr:col>8</xdr:col>
      <xdr:colOff>144160</xdr:colOff>
      <xdr:row>110</xdr:row>
      <xdr:rowOff>239188</xdr:rowOff>
    </xdr:to>
    <xdr:pic>
      <xdr:nvPicPr>
        <xdr:cNvPr id="52" name="STOWAGE_PLAN_DEFAULT_SHAPE_263767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16" y="24028660"/>
          <a:ext cx="893211" cy="308778"/>
        </a:xfrm>
        <a:prstGeom prst="rect">
          <a:avLst/>
        </a:prstGeom>
      </xdr:spPr>
    </xdr:pic>
    <xdr:clientData/>
  </xdr:twoCellAnchor>
  <xdr:twoCellAnchor>
    <xdr:from>
      <xdr:col>5</xdr:col>
      <xdr:colOff>38035</xdr:colOff>
      <xdr:row>111</xdr:row>
      <xdr:rowOff>114721</xdr:rowOff>
    </xdr:from>
    <xdr:to>
      <xdr:col>7</xdr:col>
      <xdr:colOff>120195</xdr:colOff>
      <xdr:row>113</xdr:row>
      <xdr:rowOff>85064</xdr:rowOff>
    </xdr:to>
    <xdr:pic>
      <xdr:nvPicPr>
        <xdr:cNvPr id="53" name="STOWAGE_PLAN_DEFAULT_SHAPE_27931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2202" y="24456388"/>
          <a:ext cx="463160" cy="457176"/>
        </a:xfrm>
        <a:prstGeom prst="rect">
          <a:avLst/>
        </a:prstGeom>
      </xdr:spPr>
    </xdr:pic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54</xdr:col>
      <xdr:colOff>78443</xdr:colOff>
      <xdr:row>71</xdr:row>
      <xdr:rowOff>190501</xdr:rowOff>
    </xdr:from>
    <xdr:to>
      <xdr:col>57</xdr:col>
      <xdr:colOff>142889</xdr:colOff>
      <xdr:row>72</xdr:row>
      <xdr:rowOff>156884</xdr:rowOff>
    </xdr:to>
    <xdr:pic>
      <xdr:nvPicPr>
        <xdr:cNvPr id="95" name="STOWAGE_PLAN_DEFAULT_SHAPE_20754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8355" y="14971060"/>
          <a:ext cx="635946" cy="212912"/>
        </a:xfrm>
        <a:prstGeom prst="rect">
          <a:avLst/>
        </a:prstGeom>
      </xdr:spPr>
    </xdr:pic>
    <xdr:clientData/>
  </xdr:twoCellAnchor>
  <xdr:twoCellAnchor>
    <xdr:from>
      <xdr:col>35</xdr:col>
      <xdr:colOff>37376</xdr:colOff>
      <xdr:row>93</xdr:row>
      <xdr:rowOff>209687</xdr:rowOff>
    </xdr:from>
    <xdr:to>
      <xdr:col>37</xdr:col>
      <xdr:colOff>82201</xdr:colOff>
      <xdr:row>95</xdr:row>
      <xdr:rowOff>142504</xdr:rowOff>
    </xdr:to>
    <xdr:pic>
      <xdr:nvPicPr>
        <xdr:cNvPr id="98" name="STOWAGE_PLAN_DEFAULT_SHAPE_18599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1941" y="20576622"/>
          <a:ext cx="425825" cy="429773"/>
        </a:xfrm>
        <a:prstGeom prst="rect">
          <a:avLst/>
        </a:prstGeom>
      </xdr:spPr>
    </xdr:pic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/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/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/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/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/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/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/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/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55</xdr:col>
      <xdr:colOff>156882</xdr:colOff>
      <xdr:row>29</xdr:row>
      <xdr:rowOff>56029</xdr:rowOff>
    </xdr:from>
    <xdr:to>
      <xdr:col>62</xdr:col>
      <xdr:colOff>103542</xdr:colOff>
      <xdr:row>29</xdr:row>
      <xdr:rowOff>238909</xdr:rowOff>
    </xdr:to>
    <xdr:sp macro="" textlink="">
      <xdr:nvSpPr>
        <xdr:cNvPr id="131" name="STOW_DIRECTION_20201021231242_DRW"/>
        <xdr:cNvSpPr/>
      </xdr:nvSpPr>
      <xdr:spPr>
        <a:xfrm rot="10800000" flipV="1">
          <a:off x="10843932" y="4504204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/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/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26</xdr:col>
      <xdr:colOff>22411</xdr:colOff>
      <xdr:row>33</xdr:row>
      <xdr:rowOff>190500</xdr:rowOff>
    </xdr:from>
    <xdr:to>
      <xdr:col>34</xdr:col>
      <xdr:colOff>22411</xdr:colOff>
      <xdr:row>35</xdr:row>
      <xdr:rowOff>7817</xdr:rowOff>
    </xdr:to>
    <xdr:sp macro="" textlink="">
      <xdr:nvSpPr>
        <xdr:cNvPr id="134" name="STOWAGE_PLAN_DEFAULT_SHAPE_80707"/>
        <xdr:cNvSpPr/>
      </xdr:nvSpPr>
      <xdr:spPr>
        <a:xfrm>
          <a:off x="5184961" y="5629275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56</xdr:col>
      <xdr:colOff>33618</xdr:colOff>
      <xdr:row>33</xdr:row>
      <xdr:rowOff>212912</xdr:rowOff>
    </xdr:from>
    <xdr:to>
      <xdr:col>64</xdr:col>
      <xdr:colOff>33618</xdr:colOff>
      <xdr:row>35</xdr:row>
      <xdr:rowOff>30229</xdr:rowOff>
    </xdr:to>
    <xdr:sp macro="" textlink="">
      <xdr:nvSpPr>
        <xdr:cNvPr id="135" name="STOWAGE_PLAN_DEFAULT_SHAPE_457926"/>
        <xdr:cNvSpPr/>
      </xdr:nvSpPr>
      <xdr:spPr>
        <a:xfrm>
          <a:off x="10911168" y="5651687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20</xdr:col>
      <xdr:colOff>97489</xdr:colOff>
      <xdr:row>38</xdr:row>
      <xdr:rowOff>47625</xdr:rowOff>
    </xdr:from>
    <xdr:to>
      <xdr:col>28</xdr:col>
      <xdr:colOff>97489</xdr:colOff>
      <xdr:row>40</xdr:row>
      <xdr:rowOff>190500</xdr:rowOff>
    </xdr:to>
    <xdr:sp macro="" textlink="">
      <xdr:nvSpPr>
        <xdr:cNvPr id="136" name="PKG_BOX_20201022011736_PKGS"/>
        <xdr:cNvSpPr/>
      </xdr:nvSpPr>
      <xdr:spPr>
        <a:xfrm>
          <a:off x="4119156" y="6619875"/>
          <a:ext cx="1524000" cy="629708"/>
        </a:xfrm>
        <a:prstGeom prst="wedgeRectCallout">
          <a:avLst>
            <a:gd name="adj1" fmla="val -9068"/>
            <a:gd name="adj2" fmla="val -185271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12 </a:t>
          </a:r>
          <a:r>
            <a:rPr lang="en-US" sz="1100">
              <a:solidFill>
                <a:srgbClr val="000000"/>
              </a:solidFill>
            </a:rPr>
            <a:t>pkgs</a:t>
          </a:r>
          <a:r>
            <a:rPr lang="en-US" sz="1200">
              <a:solidFill>
                <a:srgbClr val="000000"/>
              </a:solidFill>
            </a:rPr>
            <a:t> - 35.5 kt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/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/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6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/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7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35</xdr:col>
      <xdr:colOff>91571</xdr:colOff>
      <xdr:row>95</xdr:row>
      <xdr:rowOff>81903</xdr:rowOff>
    </xdr:from>
    <xdr:to>
      <xdr:col>37</xdr:col>
      <xdr:colOff>8283</xdr:colOff>
      <xdr:row>96</xdr:row>
      <xdr:rowOff>8280</xdr:rowOff>
    </xdr:to>
    <xdr:sp macro="" textlink="">
      <xdr:nvSpPr>
        <xdr:cNvPr id="139" name="STOWAGE_PLAN_DEFAULT_SHAPE_97965"/>
        <xdr:cNvSpPr>
          <a:spLocks noChangeArrowheads="1"/>
        </xdr:cNvSpPr>
      </xdr:nvSpPr>
      <xdr:spPr bwMode="auto">
        <a:xfrm>
          <a:off x="6966136" y="20945794"/>
          <a:ext cx="297712" cy="174856"/>
        </a:xfrm>
        <a:prstGeom prst="rect">
          <a:avLst/>
        </a:prstGeom>
        <a:blipFill dpi="0" rotWithShape="0">
          <a:blip xmlns:r="http://schemas.openxmlformats.org/officeDocument/2006/relationships" r:embed="rId7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99390</xdr:colOff>
      <xdr:row>95</xdr:row>
      <xdr:rowOff>207065</xdr:rowOff>
    </xdr:from>
    <xdr:to>
      <xdr:col>45</xdr:col>
      <xdr:colOff>124684</xdr:colOff>
      <xdr:row>96</xdr:row>
      <xdr:rowOff>170619</xdr:rowOff>
    </xdr:to>
    <xdr:sp macro="" textlink="">
      <xdr:nvSpPr>
        <xdr:cNvPr id="140" name="STOWAGE_PLAN_DEFAULT_SHAPE_560984"/>
        <xdr:cNvSpPr>
          <a:spLocks noChangeArrowheads="1"/>
        </xdr:cNvSpPr>
      </xdr:nvSpPr>
      <xdr:spPr bwMode="auto">
        <a:xfrm>
          <a:off x="8116955" y="21070956"/>
          <a:ext cx="787294" cy="21203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/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/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/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/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17368</xdr:rowOff>
    </xdr:from>
    <xdr:to>
      <xdr:col>22</xdr:col>
      <xdr:colOff>333375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0" y="1922368"/>
          <a:ext cx="13088592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313765</xdr:colOff>
      <xdr:row>11</xdr:row>
      <xdr:rowOff>33617</xdr:rowOff>
    </xdr:from>
    <xdr:to>
      <xdr:col>3</xdr:col>
      <xdr:colOff>113180</xdr:colOff>
      <xdr:row>14</xdr:row>
      <xdr:rowOff>43142</xdr:rowOff>
    </xdr:to>
    <xdr:sp macro="" textlink="">
      <xdr:nvSpPr>
        <xdr:cNvPr id="3" name="STOWAGE_PLAN_DEFAULT_SHAPE_513687"/>
        <xdr:cNvSpPr>
          <a:spLocks noChangeArrowheads="1"/>
        </xdr:cNvSpPr>
      </xdr:nvSpPr>
      <xdr:spPr bwMode="auto">
        <a:xfrm>
          <a:off x="429722" y="2129117"/>
          <a:ext cx="1025241" cy="581025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355178</xdr:colOff>
      <xdr:row>11</xdr:row>
      <xdr:rowOff>142267</xdr:rowOff>
    </xdr:from>
    <xdr:to>
      <xdr:col>3</xdr:col>
      <xdr:colOff>119854</xdr:colOff>
      <xdr:row>14</xdr:row>
      <xdr:rowOff>52620</xdr:rowOff>
    </xdr:to>
    <xdr:sp macro="" textlink="">
      <xdr:nvSpPr>
        <xdr:cNvPr id="5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1135" y="2237767"/>
          <a:ext cx="990502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38359</xdr:colOff>
      <xdr:row>16</xdr:row>
      <xdr:rowOff>110894</xdr:rowOff>
    </xdr:from>
    <xdr:to>
      <xdr:col>9</xdr:col>
      <xdr:colOff>504536</xdr:colOff>
      <xdr:row>18</xdr:row>
      <xdr:rowOff>124558</xdr:rowOff>
    </xdr:to>
    <xdr:pic>
      <xdr:nvPicPr>
        <xdr:cNvPr id="8" name="STOWAGE_PLAN_DEFAULT_SHAPE_353438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1455" y="3158894"/>
          <a:ext cx="466177" cy="394664"/>
        </a:xfrm>
        <a:prstGeom prst="rect">
          <a:avLst/>
        </a:prstGeom>
      </xdr:spPr>
    </xdr:pic>
    <xdr:clientData/>
  </xdr:twoCellAnchor>
  <xdr:twoCellAnchor>
    <xdr:from>
      <xdr:col>15</xdr:col>
      <xdr:colOff>29308</xdr:colOff>
      <xdr:row>18</xdr:row>
      <xdr:rowOff>139212</xdr:rowOff>
    </xdr:from>
    <xdr:to>
      <xdr:col>15</xdr:col>
      <xdr:colOff>278424</xdr:colOff>
      <xdr:row>21</xdr:row>
      <xdr:rowOff>130074</xdr:rowOff>
    </xdr:to>
    <xdr:sp macro="" textlink="">
      <xdr:nvSpPr>
        <xdr:cNvPr id="7" name="STOWAGE_PLAN_DEFAULT_SHAPE_404794"/>
        <xdr:cNvSpPr>
          <a:spLocks noChangeArrowheads="1"/>
        </xdr:cNvSpPr>
      </xdr:nvSpPr>
      <xdr:spPr bwMode="auto">
        <a:xfrm>
          <a:off x="8711712" y="3568212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8</xdr:col>
      <xdr:colOff>322385</xdr:colOff>
      <xdr:row>16</xdr:row>
      <xdr:rowOff>174380</xdr:rowOff>
    </xdr:from>
    <xdr:to>
      <xdr:col>8</xdr:col>
      <xdr:colOff>571500</xdr:colOff>
      <xdr:row>21</xdr:row>
      <xdr:rowOff>124557</xdr:rowOff>
    </xdr:to>
    <xdr:sp macro="" textlink="">
      <xdr:nvSpPr>
        <xdr:cNvPr id="11" name="STOWAGE_PLAN_DEFAULT_SHAPE_269705"/>
        <xdr:cNvSpPr>
          <a:spLocks noChangeArrowheads="1"/>
        </xdr:cNvSpPr>
      </xdr:nvSpPr>
      <xdr:spPr bwMode="auto">
        <a:xfrm>
          <a:off x="4557347" y="32223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175846</xdr:colOff>
      <xdr:row>19</xdr:row>
      <xdr:rowOff>38918</xdr:rowOff>
    </xdr:from>
    <xdr:to>
      <xdr:col>1</xdr:col>
      <xdr:colOff>293077</xdr:colOff>
      <xdr:row>24</xdr:row>
      <xdr:rowOff>175845</xdr:rowOff>
    </xdr:to>
    <xdr:sp macro="" textlink="">
      <xdr:nvSpPr>
        <xdr:cNvPr id="12" name="STOWAGE_PLAN_DEFAULT_SHAPE_55588"/>
        <xdr:cNvSpPr>
          <a:spLocks noChangeArrowheads="1"/>
        </xdr:cNvSpPr>
      </xdr:nvSpPr>
      <xdr:spPr bwMode="auto">
        <a:xfrm>
          <a:off x="293077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160998</xdr:colOff>
      <xdr:row>31</xdr:row>
      <xdr:rowOff>150527</xdr:rowOff>
    </xdr:from>
    <xdr:to>
      <xdr:col>2</xdr:col>
      <xdr:colOff>418173</xdr:colOff>
      <xdr:row>32</xdr:row>
      <xdr:rowOff>158587</xdr:rowOff>
    </xdr:to>
    <xdr:sp macro="" textlink="">
      <xdr:nvSpPr>
        <xdr:cNvPr id="13" name="STOWAGE_PLAN_DEFAULT_SHAPE_243821"/>
        <xdr:cNvSpPr>
          <a:spLocks noChangeArrowheads="1"/>
        </xdr:cNvSpPr>
      </xdr:nvSpPr>
      <xdr:spPr bwMode="auto">
        <a:xfrm>
          <a:off x="886363" y="6056027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65943</xdr:colOff>
      <xdr:row>31</xdr:row>
      <xdr:rowOff>82880</xdr:rowOff>
    </xdr:from>
    <xdr:to>
      <xdr:col>3</xdr:col>
      <xdr:colOff>208818</xdr:colOff>
      <xdr:row>33</xdr:row>
      <xdr:rowOff>113489</xdr:rowOff>
    </xdr:to>
    <xdr:sp macro="" textlink="">
      <xdr:nvSpPr>
        <xdr:cNvPr id="14" name="STOWAGE_PLAN_DEFAULT_SHAPE_978981"/>
        <xdr:cNvSpPr txBox="1"/>
      </xdr:nvSpPr>
      <xdr:spPr>
        <a:xfrm>
          <a:off x="791308" y="5988380"/>
          <a:ext cx="751010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9</xdr:col>
      <xdr:colOff>95251</xdr:colOff>
      <xdr:row>18</xdr:row>
      <xdr:rowOff>146539</xdr:rowOff>
    </xdr:from>
    <xdr:to>
      <xdr:col>9</xdr:col>
      <xdr:colOff>366346</xdr:colOff>
      <xdr:row>19</xdr:row>
      <xdr:rowOff>136282</xdr:rowOff>
    </xdr:to>
    <xdr:sp macro="" textlink="">
      <xdr:nvSpPr>
        <xdr:cNvPr id="16" name="STOWAGE_PLAN_DEFAULT_SHAPE_60911"/>
        <xdr:cNvSpPr>
          <a:spLocks noChangeArrowheads="1"/>
        </xdr:cNvSpPr>
      </xdr:nvSpPr>
      <xdr:spPr bwMode="auto">
        <a:xfrm>
          <a:off x="4938347" y="3575539"/>
          <a:ext cx="271095" cy="180243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322385</xdr:colOff>
      <xdr:row>19</xdr:row>
      <xdr:rowOff>33790</xdr:rowOff>
    </xdr:from>
    <xdr:to>
      <xdr:col>1</xdr:col>
      <xdr:colOff>579560</xdr:colOff>
      <xdr:row>21</xdr:row>
      <xdr:rowOff>79950</xdr:rowOff>
    </xdr:to>
    <xdr:sp macro="" textlink="">
      <xdr:nvSpPr>
        <xdr:cNvPr id="17" name="STOWAGE_PLAN_DEFAULT_SHAPE_390253"/>
        <xdr:cNvSpPr>
          <a:spLocks noChangeArrowheads="1"/>
        </xdr:cNvSpPr>
      </xdr:nvSpPr>
      <xdr:spPr bwMode="auto">
        <a:xfrm>
          <a:off x="439616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/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153865</xdr:colOff>
      <xdr:row>16</xdr:row>
      <xdr:rowOff>139213</xdr:rowOff>
    </xdr:from>
    <xdr:to>
      <xdr:col>12</xdr:col>
      <xdr:colOff>139212</xdr:colOff>
      <xdr:row>16</xdr:row>
      <xdr:rowOff>146538</xdr:rowOff>
    </xdr:to>
    <xdr:cxnSp macro="">
      <xdr:nvCxnSpPr>
        <xdr:cNvPr id="21" name="STOWAGE_PLAN_DEFAULT_SHAPE_474412"/>
        <xdr:cNvCxnSpPr>
          <a:cxnSpLocks noChangeShapeType="1"/>
        </xdr:cNvCxnSpPr>
      </xdr:nvCxnSpPr>
      <xdr:spPr bwMode="auto">
        <a:xfrm>
          <a:off x="5605096" y="3187213"/>
          <a:ext cx="1201616" cy="7325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139211</xdr:colOff>
      <xdr:row>21</xdr:row>
      <xdr:rowOff>153867</xdr:rowOff>
    </xdr:from>
    <xdr:to>
      <xdr:col>12</xdr:col>
      <xdr:colOff>124558</xdr:colOff>
      <xdr:row>21</xdr:row>
      <xdr:rowOff>161192</xdr:rowOff>
    </xdr:to>
    <xdr:cxnSp macro="">
      <xdr:nvCxnSpPr>
        <xdr:cNvPr id="31" name="STOWAGE_PLAN_DEFAULT_SHAPE_257242"/>
        <xdr:cNvCxnSpPr>
          <a:cxnSpLocks noChangeShapeType="1"/>
        </xdr:cNvCxnSpPr>
      </xdr:nvCxnSpPr>
      <xdr:spPr bwMode="auto">
        <a:xfrm>
          <a:off x="5590442" y="4154367"/>
          <a:ext cx="1201616" cy="7325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131884</xdr:colOff>
      <xdr:row>16</xdr:row>
      <xdr:rowOff>146540</xdr:rowOff>
    </xdr:from>
    <xdr:to>
      <xdr:col>12</xdr:col>
      <xdr:colOff>137948</xdr:colOff>
      <xdr:row>21</xdr:row>
      <xdr:rowOff>170793</xdr:rowOff>
    </xdr:to>
    <xdr:cxnSp macro="">
      <xdr:nvCxnSpPr>
        <xdr:cNvPr id="32" name="STOWAGE_PLAN_DEFAULT_SHAPE_628689"/>
        <xdr:cNvCxnSpPr>
          <a:cxnSpLocks noChangeShapeType="1"/>
        </xdr:cNvCxnSpPr>
      </xdr:nvCxnSpPr>
      <xdr:spPr bwMode="auto">
        <a:xfrm>
          <a:off x="6819091" y="319454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505239</xdr:colOff>
      <xdr:row>17</xdr:row>
      <xdr:rowOff>16565</xdr:rowOff>
    </xdr:from>
    <xdr:to>
      <xdr:col>12</xdr:col>
      <xdr:colOff>60898</xdr:colOff>
      <xdr:row>18</xdr:row>
      <xdr:rowOff>33353</xdr:rowOff>
    </xdr:to>
    <xdr:sp macro="" textlink="">
      <xdr:nvSpPr>
        <xdr:cNvPr id="35" name="STOWAGE_PLAN_DEFAULT_SHAPE_542017"/>
        <xdr:cNvSpPr>
          <a:spLocks noChangeArrowheads="1"/>
        </xdr:cNvSpPr>
      </xdr:nvSpPr>
      <xdr:spPr bwMode="auto">
        <a:xfrm>
          <a:off x="5988326" y="3255065"/>
          <a:ext cx="781485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DE145"/>
  <sheetViews>
    <sheetView tabSelected="1" view="pageBreakPreview" topLeftCell="A85" zoomScale="85" zoomScaleNormal="70" zoomScaleSheetLayoutView="85" workbookViewId="0"/>
  </sheetViews>
  <sheetFormatPr defaultRowHeight="14.25"/>
  <cols>
    <col min="1" max="1" width="6" style="6" customWidth="1"/>
    <col min="2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2:106" ht="20.100000000000001" customHeight="1"/>
    <row r="2" spans="2:106" ht="20.100000000000001" customHeight="1">
      <c r="F2" s="87" t="s">
        <v>142</v>
      </c>
      <c r="AL2" s="558" t="s">
        <v>15</v>
      </c>
      <c r="AM2" s="558"/>
      <c r="AN2" s="558"/>
      <c r="AO2" s="558"/>
      <c r="AP2" s="558"/>
      <c r="AQ2" s="558"/>
      <c r="AR2" s="558"/>
      <c r="AS2" s="558"/>
      <c r="AT2" s="558"/>
      <c r="AU2" s="558"/>
      <c r="AV2" s="558"/>
      <c r="AW2" s="558"/>
      <c r="AX2" s="558"/>
      <c r="AY2" s="558"/>
      <c r="AZ2" s="558"/>
      <c r="BA2" s="558"/>
      <c r="BB2" s="558"/>
      <c r="BC2" s="558"/>
      <c r="BD2" s="558"/>
      <c r="BE2" s="558"/>
      <c r="BF2" s="558"/>
      <c r="BG2" s="558"/>
      <c r="BH2" s="558"/>
      <c r="BI2" s="558"/>
      <c r="BJ2" s="558"/>
      <c r="BK2" s="558"/>
      <c r="BL2" s="558"/>
      <c r="BM2" s="558"/>
      <c r="BO2" s="448" t="s">
        <v>16</v>
      </c>
      <c r="BP2" s="448"/>
      <c r="BQ2" s="448"/>
      <c r="BR2" s="448"/>
      <c r="BS2" s="448"/>
      <c r="BT2" s="448"/>
      <c r="BU2" s="555" t="s">
        <v>145</v>
      </c>
      <c r="BV2" s="555"/>
      <c r="BW2" s="555"/>
      <c r="BX2" s="555"/>
      <c r="BY2" s="555"/>
      <c r="BZ2" s="85"/>
      <c r="CA2" s="86"/>
      <c r="CB2" s="86"/>
      <c r="CC2" s="1"/>
      <c r="CD2" s="1"/>
    </row>
    <row r="3" spans="2:106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  <c r="AY3" s="558"/>
      <c r="AZ3" s="558"/>
      <c r="BA3" s="558"/>
      <c r="BB3" s="558"/>
      <c r="BC3" s="558"/>
      <c r="BD3" s="558"/>
      <c r="BE3" s="558"/>
      <c r="BF3" s="558"/>
      <c r="BG3" s="558"/>
      <c r="BH3" s="558"/>
      <c r="BI3" s="558"/>
      <c r="BJ3" s="558"/>
      <c r="BK3" s="558"/>
      <c r="BL3" s="558"/>
      <c r="BM3" s="558"/>
      <c r="BN3" s="21"/>
      <c r="BO3" s="448" t="s">
        <v>17</v>
      </c>
      <c r="BP3" s="448"/>
      <c r="BQ3" s="448"/>
      <c r="BR3" s="448"/>
      <c r="BS3" s="448"/>
      <c r="BT3" s="448"/>
      <c r="BU3" s="555" t="s">
        <v>144</v>
      </c>
      <c r="BV3" s="555"/>
      <c r="BW3" s="555"/>
      <c r="BX3" s="555"/>
      <c r="BY3" s="555"/>
      <c r="BZ3" s="555"/>
      <c r="CA3" s="555"/>
      <c r="CB3" s="555"/>
      <c r="CC3" s="555"/>
      <c r="CD3" s="561" t="s">
        <v>0</v>
      </c>
      <c r="CE3" s="561"/>
      <c r="CF3" s="561"/>
      <c r="CG3" s="556">
        <v>44133</v>
      </c>
      <c r="CH3" s="556"/>
      <c r="CI3" s="556"/>
      <c r="CJ3" s="556"/>
      <c r="CK3" s="556"/>
      <c r="CL3" s="556"/>
      <c r="CM3" s="556"/>
      <c r="CN3" s="21"/>
      <c r="CO3" s="21"/>
      <c r="CQ3" s="21"/>
      <c r="CR3" s="21"/>
      <c r="CS3" s="21"/>
      <c r="CT3" s="21"/>
      <c r="CU3" s="21"/>
      <c r="CV3" s="21"/>
      <c r="CW3" s="21"/>
    </row>
    <row r="4" spans="2:106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2:106" ht="20.100000000000001" customHeight="1" thickTop="1">
      <c r="B5" s="462" t="s">
        <v>49</v>
      </c>
      <c r="C5" s="463"/>
      <c r="D5" s="463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4"/>
      <c r="Q5" s="462" t="s">
        <v>6</v>
      </c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  <c r="AG5" s="463"/>
      <c r="AH5" s="463"/>
      <c r="AI5" s="463"/>
      <c r="AJ5" s="463"/>
      <c r="AK5" s="463"/>
      <c r="AL5" s="463"/>
      <c r="AM5" s="463"/>
      <c r="AN5" s="463"/>
      <c r="AO5" s="463"/>
      <c r="AP5" s="463"/>
      <c r="AQ5" s="463"/>
      <c r="AR5" s="463"/>
      <c r="AS5" s="463"/>
      <c r="AT5" s="464"/>
      <c r="AU5" s="413" t="s">
        <v>8</v>
      </c>
      <c r="AV5" s="414"/>
      <c r="AW5" s="414"/>
      <c r="AX5" s="414"/>
      <c r="AY5" s="414"/>
      <c r="AZ5" s="414"/>
      <c r="BA5" s="414"/>
      <c r="BB5" s="414"/>
      <c r="BC5" s="414"/>
      <c r="BD5" s="415"/>
      <c r="BE5" s="413" t="s">
        <v>9</v>
      </c>
      <c r="BF5" s="414"/>
      <c r="BG5" s="414"/>
      <c r="BH5" s="414"/>
      <c r="BI5" s="414"/>
      <c r="BJ5" s="414"/>
      <c r="BK5" s="414"/>
      <c r="BL5" s="414"/>
      <c r="BM5" s="414"/>
      <c r="BN5" s="415"/>
      <c r="BO5" s="413" t="s">
        <v>10</v>
      </c>
      <c r="BP5" s="414"/>
      <c r="BQ5" s="414"/>
      <c r="BR5" s="414"/>
      <c r="BS5" s="414"/>
      <c r="BT5" s="414"/>
      <c r="BU5" s="414"/>
      <c r="BV5" s="414"/>
      <c r="BW5" s="414"/>
      <c r="BX5" s="415"/>
      <c r="BY5" s="413" t="s">
        <v>11</v>
      </c>
      <c r="BZ5" s="414"/>
      <c r="CA5" s="414"/>
      <c r="CB5" s="414"/>
      <c r="CC5" s="414"/>
      <c r="CD5" s="414"/>
      <c r="CE5" s="414"/>
      <c r="CF5" s="414"/>
      <c r="CG5" s="414"/>
      <c r="CH5" s="415"/>
      <c r="CI5" s="419" t="s">
        <v>7</v>
      </c>
      <c r="CJ5" s="420"/>
      <c r="CK5" s="420"/>
      <c r="CL5" s="420"/>
      <c r="CM5" s="420"/>
      <c r="CN5" s="420"/>
      <c r="CO5" s="420"/>
      <c r="CP5" s="420"/>
      <c r="CQ5" s="420"/>
      <c r="CR5" s="420"/>
      <c r="CS5" s="420"/>
      <c r="CT5" s="420"/>
      <c r="CU5" s="420"/>
      <c r="CV5" s="420"/>
      <c r="CW5" s="420"/>
      <c r="CX5" s="420"/>
      <c r="CY5" s="420"/>
      <c r="CZ5" s="420"/>
      <c r="DA5" s="420"/>
      <c r="DB5" s="421"/>
    </row>
    <row r="6" spans="2:106" ht="20.100000000000001" customHeight="1" thickBot="1">
      <c r="B6" s="465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7"/>
      <c r="Q6" s="465"/>
      <c r="R6" s="466"/>
      <c r="S6" s="466"/>
      <c r="T6" s="466"/>
      <c r="U6" s="466"/>
      <c r="V6" s="466"/>
      <c r="W6" s="466"/>
      <c r="X6" s="466"/>
      <c r="Y6" s="466"/>
      <c r="Z6" s="466"/>
      <c r="AA6" s="466"/>
      <c r="AB6" s="466"/>
      <c r="AC6" s="466"/>
      <c r="AD6" s="466"/>
      <c r="AE6" s="466"/>
      <c r="AF6" s="466"/>
      <c r="AG6" s="466"/>
      <c r="AH6" s="466"/>
      <c r="AI6" s="466"/>
      <c r="AJ6" s="466"/>
      <c r="AK6" s="466"/>
      <c r="AL6" s="466"/>
      <c r="AM6" s="466"/>
      <c r="AN6" s="466"/>
      <c r="AO6" s="466"/>
      <c r="AP6" s="466"/>
      <c r="AQ6" s="466"/>
      <c r="AR6" s="466"/>
      <c r="AS6" s="466"/>
      <c r="AT6" s="467"/>
      <c r="AU6" s="416"/>
      <c r="AV6" s="417"/>
      <c r="AW6" s="417"/>
      <c r="AX6" s="417"/>
      <c r="AY6" s="417"/>
      <c r="AZ6" s="417"/>
      <c r="BA6" s="417"/>
      <c r="BB6" s="417"/>
      <c r="BC6" s="417"/>
      <c r="BD6" s="418"/>
      <c r="BE6" s="416"/>
      <c r="BF6" s="417"/>
      <c r="BG6" s="417"/>
      <c r="BH6" s="417"/>
      <c r="BI6" s="417"/>
      <c r="BJ6" s="417"/>
      <c r="BK6" s="417"/>
      <c r="BL6" s="417"/>
      <c r="BM6" s="417"/>
      <c r="BN6" s="418"/>
      <c r="BO6" s="416"/>
      <c r="BP6" s="417"/>
      <c r="BQ6" s="417"/>
      <c r="BR6" s="417"/>
      <c r="BS6" s="417"/>
      <c r="BT6" s="417"/>
      <c r="BU6" s="417"/>
      <c r="BV6" s="417"/>
      <c r="BW6" s="417"/>
      <c r="BX6" s="418"/>
      <c r="BY6" s="416"/>
      <c r="BZ6" s="417"/>
      <c r="CA6" s="417"/>
      <c r="CB6" s="417"/>
      <c r="CC6" s="417"/>
      <c r="CD6" s="417"/>
      <c r="CE6" s="417"/>
      <c r="CF6" s="417"/>
      <c r="CG6" s="417"/>
      <c r="CH6" s="418"/>
      <c r="CI6" s="422" t="s">
        <v>13</v>
      </c>
      <c r="CJ6" s="423"/>
      <c r="CK6" s="423"/>
      <c r="CL6" s="423"/>
      <c r="CM6" s="423"/>
      <c r="CN6" s="423"/>
      <c r="CO6" s="423"/>
      <c r="CP6" s="423"/>
      <c r="CQ6" s="423"/>
      <c r="CR6" s="423"/>
      <c r="CS6" s="423" t="s">
        <v>18</v>
      </c>
      <c r="CT6" s="423"/>
      <c r="CU6" s="423"/>
      <c r="CV6" s="423"/>
      <c r="CW6" s="423"/>
      <c r="CX6" s="423"/>
      <c r="CY6" s="423"/>
      <c r="CZ6" s="423"/>
      <c r="DA6" s="423"/>
      <c r="DB6" s="424"/>
    </row>
    <row r="7" spans="2:106" ht="19.5" thickTop="1" thickBot="1">
      <c r="B7" s="427" t="s">
        <v>51</v>
      </c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30"/>
      <c r="N7" s="429" t="s">
        <v>50</v>
      </c>
      <c r="O7" s="428"/>
      <c r="P7" s="461"/>
      <c r="Q7" s="262" t="s">
        <v>58</v>
      </c>
      <c r="R7" s="263"/>
      <c r="S7" s="264"/>
      <c r="T7" s="262" t="s">
        <v>91</v>
      </c>
      <c r="U7" s="263"/>
      <c r="V7" s="264"/>
      <c r="W7" s="262"/>
      <c r="X7" s="263"/>
      <c r="Y7" s="264"/>
      <c r="Z7" s="262"/>
      <c r="AA7" s="263"/>
      <c r="AB7" s="264"/>
      <c r="AC7" s="262"/>
      <c r="AD7" s="263"/>
      <c r="AE7" s="264"/>
      <c r="AF7" s="262"/>
      <c r="AG7" s="263"/>
      <c r="AH7" s="264"/>
      <c r="AI7" s="262"/>
      <c r="AJ7" s="263"/>
      <c r="AK7" s="264"/>
      <c r="AL7" s="262"/>
      <c r="AM7" s="263"/>
      <c r="AN7" s="264"/>
      <c r="AO7" s="262"/>
      <c r="AP7" s="263"/>
      <c r="AQ7" s="264"/>
      <c r="AR7" s="262"/>
      <c r="AS7" s="263"/>
      <c r="AT7" s="264"/>
      <c r="AU7" s="427" t="s">
        <v>13</v>
      </c>
      <c r="AV7" s="428"/>
      <c r="AW7" s="428"/>
      <c r="AX7" s="428"/>
      <c r="AY7" s="428"/>
      <c r="AZ7" s="429" t="s">
        <v>19</v>
      </c>
      <c r="BA7" s="428"/>
      <c r="BB7" s="428"/>
      <c r="BC7" s="428"/>
      <c r="BD7" s="430"/>
      <c r="BE7" s="427" t="s">
        <v>13</v>
      </c>
      <c r="BF7" s="428"/>
      <c r="BG7" s="428"/>
      <c r="BH7" s="428"/>
      <c r="BI7" s="428"/>
      <c r="BJ7" s="429" t="s">
        <v>19</v>
      </c>
      <c r="BK7" s="428"/>
      <c r="BL7" s="428"/>
      <c r="BM7" s="428"/>
      <c r="BN7" s="430"/>
      <c r="BO7" s="427" t="s">
        <v>13</v>
      </c>
      <c r="BP7" s="428"/>
      <c r="BQ7" s="428"/>
      <c r="BR7" s="428"/>
      <c r="BS7" s="428"/>
      <c r="BT7" s="429" t="s">
        <v>19</v>
      </c>
      <c r="BU7" s="428"/>
      <c r="BV7" s="428"/>
      <c r="BW7" s="428"/>
      <c r="BX7" s="430"/>
      <c r="BY7" s="427" t="s">
        <v>13</v>
      </c>
      <c r="BZ7" s="428"/>
      <c r="CA7" s="428"/>
      <c r="CB7" s="428"/>
      <c r="CC7" s="428"/>
      <c r="CD7" s="429" t="s">
        <v>19</v>
      </c>
      <c r="CE7" s="428"/>
      <c r="CF7" s="428"/>
      <c r="CG7" s="428"/>
      <c r="CH7" s="461"/>
      <c r="CI7" s="427" t="s">
        <v>13</v>
      </c>
      <c r="CJ7" s="428"/>
      <c r="CK7" s="428"/>
      <c r="CL7" s="428"/>
      <c r="CM7" s="428"/>
      <c r="CN7" s="429" t="s">
        <v>19</v>
      </c>
      <c r="CO7" s="428"/>
      <c r="CP7" s="428"/>
      <c r="CQ7" s="428"/>
      <c r="CR7" s="461"/>
      <c r="CS7" s="569" t="s">
        <v>20</v>
      </c>
      <c r="CT7" s="411"/>
      <c r="CU7" s="411"/>
      <c r="CV7" s="411"/>
      <c r="CW7" s="411"/>
      <c r="CX7" s="411" t="s">
        <v>19</v>
      </c>
      <c r="CY7" s="411"/>
      <c r="CZ7" s="411"/>
      <c r="DA7" s="411"/>
      <c r="DB7" s="412"/>
    </row>
    <row r="8" spans="2:106" ht="20.100000000000001" hidden="1" customHeight="1" thickTop="1" thickBot="1"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</row>
    <row r="9" spans="2:106" ht="18.75" thickTop="1">
      <c r="B9" s="339" t="s">
        <v>89</v>
      </c>
      <c r="C9" s="340"/>
      <c r="D9" s="340"/>
      <c r="E9" s="340"/>
      <c r="F9" s="340"/>
      <c r="G9" s="340"/>
      <c r="H9" s="340"/>
      <c r="I9" s="340"/>
      <c r="J9" s="340"/>
      <c r="K9" s="340"/>
      <c r="L9" s="340"/>
      <c r="M9" s="341"/>
      <c r="N9" s="372" t="s">
        <v>90</v>
      </c>
      <c r="O9" s="373"/>
      <c r="P9" s="374"/>
      <c r="Q9" s="316"/>
      <c r="R9" s="317"/>
      <c r="S9" s="317"/>
      <c r="T9" s="317">
        <v>327</v>
      </c>
      <c r="U9" s="317"/>
      <c r="V9" s="317"/>
      <c r="W9" s="317"/>
      <c r="X9" s="317"/>
      <c r="Y9" s="317"/>
      <c r="Z9" s="317"/>
      <c r="AA9" s="317"/>
      <c r="AB9" s="317"/>
      <c r="AC9" s="317"/>
      <c r="AD9" s="317"/>
      <c r="AE9" s="317"/>
      <c r="AF9" s="317"/>
      <c r="AG9" s="317"/>
      <c r="AH9" s="317"/>
      <c r="AI9" s="317"/>
      <c r="AJ9" s="317"/>
      <c r="AK9" s="317"/>
      <c r="AL9" s="317"/>
      <c r="AM9" s="317"/>
      <c r="AN9" s="317"/>
      <c r="AO9" s="317"/>
      <c r="AP9" s="317"/>
      <c r="AQ9" s="317"/>
      <c r="AR9" s="317"/>
      <c r="AS9" s="317"/>
      <c r="AT9" s="559"/>
      <c r="AU9" s="454">
        <v>119</v>
      </c>
      <c r="AV9" s="426"/>
      <c r="AW9" s="426"/>
      <c r="AX9" s="426"/>
      <c r="AY9" s="426"/>
      <c r="AZ9" s="425">
        <v>175.5</v>
      </c>
      <c r="BA9" s="425"/>
      <c r="BB9" s="425"/>
      <c r="BC9" s="425"/>
      <c r="BD9" s="425"/>
      <c r="BE9" s="426">
        <v>121</v>
      </c>
      <c r="BF9" s="426"/>
      <c r="BG9" s="426"/>
      <c r="BH9" s="426"/>
      <c r="BI9" s="426"/>
      <c r="BJ9" s="425">
        <v>195.6</v>
      </c>
      <c r="BK9" s="425"/>
      <c r="BL9" s="425"/>
      <c r="BM9" s="425"/>
      <c r="BN9" s="425"/>
      <c r="BO9" s="426">
        <v>75</v>
      </c>
      <c r="BP9" s="426"/>
      <c r="BQ9" s="426"/>
      <c r="BR9" s="426"/>
      <c r="BS9" s="426"/>
      <c r="BT9" s="425">
        <v>95.6</v>
      </c>
      <c r="BU9" s="425"/>
      <c r="BV9" s="425"/>
      <c r="BW9" s="425"/>
      <c r="BX9" s="425"/>
      <c r="BY9" s="426"/>
      <c r="BZ9" s="426"/>
      <c r="CA9" s="426"/>
      <c r="CB9" s="426"/>
      <c r="CC9" s="426"/>
      <c r="CD9" s="425"/>
      <c r="CE9" s="425"/>
      <c r="CF9" s="425"/>
      <c r="CG9" s="425"/>
      <c r="CH9" s="579"/>
      <c r="CI9" s="439">
        <f t="shared" ref="CI9:CI14" si="0">IF(OR(B9="",SUM(AU9,BE9,BO9,BY9)=0),"",SUM(AU9,BE9,BO9,BY9))</f>
        <v>315</v>
      </c>
      <c r="CJ9" s="440"/>
      <c r="CK9" s="440"/>
      <c r="CL9" s="440"/>
      <c r="CM9" s="441"/>
      <c r="CN9" s="606">
        <f t="shared" ref="CN9:CN14" si="1">IF(OR(B9="",SUM(AZ9,BJ9,BT9,CD9)=0),"",SUM(AZ9,BJ9,BT9,CD9))</f>
        <v>466.70000000000005</v>
      </c>
      <c r="CO9" s="607"/>
      <c r="CP9" s="607"/>
      <c r="CQ9" s="607"/>
      <c r="CR9" s="608"/>
      <c r="CS9" s="454">
        <v>12</v>
      </c>
      <c r="CT9" s="426"/>
      <c r="CU9" s="426"/>
      <c r="CV9" s="426"/>
      <c r="CW9" s="426"/>
      <c r="CX9" s="425">
        <v>35.5</v>
      </c>
      <c r="CY9" s="425"/>
      <c r="CZ9" s="425"/>
      <c r="DA9" s="425"/>
      <c r="DB9" s="579"/>
    </row>
    <row r="10" spans="2:106" s="84" customFormat="1" ht="20.100000000000001" customHeight="1">
      <c r="B10" s="362" t="s">
        <v>92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63"/>
      <c r="N10" s="351" t="s">
        <v>93</v>
      </c>
      <c r="O10" s="352"/>
      <c r="P10" s="353"/>
      <c r="Q10" s="406"/>
      <c r="R10" s="322"/>
      <c r="S10" s="322"/>
      <c r="T10" s="322"/>
      <c r="U10" s="322"/>
      <c r="V10" s="322"/>
      <c r="W10" s="322"/>
      <c r="X10" s="322"/>
      <c r="Y10" s="322"/>
      <c r="Z10" s="322"/>
      <c r="AA10" s="322"/>
      <c r="AB10" s="322"/>
      <c r="AC10" s="322"/>
      <c r="AD10" s="322"/>
      <c r="AE10" s="322"/>
      <c r="AF10" s="322"/>
      <c r="AG10" s="322"/>
      <c r="AH10" s="322"/>
      <c r="AI10" s="322"/>
      <c r="AJ10" s="322"/>
      <c r="AK10" s="322"/>
      <c r="AL10" s="322"/>
      <c r="AM10" s="322"/>
      <c r="AN10" s="322"/>
      <c r="AO10" s="322"/>
      <c r="AP10" s="322"/>
      <c r="AQ10" s="322"/>
      <c r="AR10" s="322"/>
      <c r="AS10" s="322"/>
      <c r="AT10" s="409"/>
      <c r="AU10" s="578"/>
      <c r="AV10" s="442"/>
      <c r="AW10" s="442"/>
      <c r="AX10" s="442"/>
      <c r="AY10" s="442"/>
      <c r="AZ10" s="432"/>
      <c r="BA10" s="432"/>
      <c r="BB10" s="432"/>
      <c r="BC10" s="432"/>
      <c r="BD10" s="432"/>
      <c r="BE10" s="442"/>
      <c r="BF10" s="442"/>
      <c r="BG10" s="442"/>
      <c r="BH10" s="442"/>
      <c r="BI10" s="442"/>
      <c r="BJ10" s="432"/>
      <c r="BK10" s="432"/>
      <c r="BL10" s="432"/>
      <c r="BM10" s="432"/>
      <c r="BN10" s="432"/>
      <c r="BO10" s="442"/>
      <c r="BP10" s="442"/>
      <c r="BQ10" s="442"/>
      <c r="BR10" s="442"/>
      <c r="BS10" s="442"/>
      <c r="BT10" s="432"/>
      <c r="BU10" s="432"/>
      <c r="BV10" s="432"/>
      <c r="BW10" s="432"/>
      <c r="BX10" s="432"/>
      <c r="BY10" s="442"/>
      <c r="BZ10" s="442"/>
      <c r="CA10" s="442"/>
      <c r="CB10" s="442"/>
      <c r="CC10" s="442"/>
      <c r="CD10" s="432"/>
      <c r="CE10" s="432"/>
      <c r="CF10" s="432"/>
      <c r="CG10" s="432"/>
      <c r="CH10" s="601"/>
      <c r="CI10" s="562" t="str">
        <f t="shared" si="0"/>
        <v/>
      </c>
      <c r="CJ10" s="563"/>
      <c r="CK10" s="563"/>
      <c r="CL10" s="563"/>
      <c r="CM10" s="564"/>
      <c r="CN10" s="565" t="str">
        <f t="shared" si="1"/>
        <v/>
      </c>
      <c r="CO10" s="566"/>
      <c r="CP10" s="566"/>
      <c r="CQ10" s="566"/>
      <c r="CR10" s="567"/>
      <c r="CS10" s="578"/>
      <c r="CT10" s="442"/>
      <c r="CU10" s="442"/>
      <c r="CV10" s="442"/>
      <c r="CW10" s="442"/>
      <c r="CX10" s="432"/>
      <c r="CY10" s="432"/>
      <c r="CZ10" s="432"/>
      <c r="DA10" s="432"/>
      <c r="DB10" s="601"/>
    </row>
    <row r="11" spans="2:106" ht="20.100000000000001" customHeight="1">
      <c r="B11" s="345" t="s">
        <v>56</v>
      </c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7"/>
      <c r="N11" s="360" t="s">
        <v>57</v>
      </c>
      <c r="O11" s="346"/>
      <c r="P11" s="361"/>
      <c r="Q11" s="320">
        <v>8</v>
      </c>
      <c r="R11" s="321"/>
      <c r="S11" s="321"/>
      <c r="T11" s="321"/>
      <c r="U11" s="321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  <c r="AR11" s="321"/>
      <c r="AS11" s="321"/>
      <c r="AT11" s="408"/>
      <c r="AU11" s="570"/>
      <c r="AV11" s="431"/>
      <c r="AW11" s="431"/>
      <c r="AX11" s="431"/>
      <c r="AY11" s="431"/>
      <c r="AZ11" s="403"/>
      <c r="BA11" s="403"/>
      <c r="BB11" s="403"/>
      <c r="BC11" s="403"/>
      <c r="BD11" s="403"/>
      <c r="BE11" s="431"/>
      <c r="BF11" s="431"/>
      <c r="BG11" s="431"/>
      <c r="BH11" s="431"/>
      <c r="BI11" s="431"/>
      <c r="BJ11" s="403"/>
      <c r="BK11" s="403"/>
      <c r="BL11" s="403"/>
      <c r="BM11" s="403"/>
      <c r="BN11" s="403"/>
      <c r="BO11" s="431"/>
      <c r="BP11" s="431"/>
      <c r="BQ11" s="431"/>
      <c r="BR11" s="431"/>
      <c r="BS11" s="431"/>
      <c r="BT11" s="403"/>
      <c r="BU11" s="403"/>
      <c r="BV11" s="403"/>
      <c r="BW11" s="403"/>
      <c r="BX11" s="403"/>
      <c r="BY11" s="431"/>
      <c r="BZ11" s="431"/>
      <c r="CA11" s="431"/>
      <c r="CB11" s="431"/>
      <c r="CC11" s="431"/>
      <c r="CD11" s="403"/>
      <c r="CE11" s="403"/>
      <c r="CF11" s="403"/>
      <c r="CG11" s="403"/>
      <c r="CH11" s="605"/>
      <c r="CI11" s="602" t="str">
        <f>IF(OR(B11="",SUM(AU11,BE11,BO11,BY11)=0),"",SUM(AU11,BE11,BO11,BY11))</f>
        <v/>
      </c>
      <c r="CJ11" s="603"/>
      <c r="CK11" s="603"/>
      <c r="CL11" s="603"/>
      <c r="CM11" s="604"/>
      <c r="CN11" s="436" t="str">
        <f>IF(OR(B11="",SUM(AZ11,BJ11,BT11,CD11)=0),"",SUM(AZ11,BJ11,BT11,CD11))</f>
        <v/>
      </c>
      <c r="CO11" s="437"/>
      <c r="CP11" s="437"/>
      <c r="CQ11" s="437"/>
      <c r="CR11" s="438"/>
      <c r="CS11" s="570">
        <v>8</v>
      </c>
      <c r="CT11" s="431"/>
      <c r="CU11" s="431"/>
      <c r="CV11" s="431"/>
      <c r="CW11" s="431"/>
      <c r="CX11" s="403">
        <v>15.8</v>
      </c>
      <c r="CY11" s="403"/>
      <c r="CZ11" s="403"/>
      <c r="DA11" s="403"/>
      <c r="DB11" s="605"/>
    </row>
    <row r="12" spans="2:106" ht="20.100000000000001" customHeight="1">
      <c r="B12" s="368" t="s">
        <v>94</v>
      </c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70"/>
      <c r="N12" s="394" t="s">
        <v>95</v>
      </c>
      <c r="O12" s="369"/>
      <c r="P12" s="395"/>
      <c r="Q12" s="382"/>
      <c r="R12" s="371"/>
      <c r="S12" s="371"/>
      <c r="T12" s="371"/>
      <c r="U12" s="371"/>
      <c r="V12" s="371"/>
      <c r="W12" s="371"/>
      <c r="X12" s="371"/>
      <c r="Y12" s="371"/>
      <c r="Z12" s="371"/>
      <c r="AA12" s="371"/>
      <c r="AB12" s="371"/>
      <c r="AC12" s="371"/>
      <c r="AD12" s="371"/>
      <c r="AE12" s="371"/>
      <c r="AF12" s="371"/>
      <c r="AG12" s="371"/>
      <c r="AH12" s="371"/>
      <c r="AI12" s="371"/>
      <c r="AJ12" s="371"/>
      <c r="AK12" s="371"/>
      <c r="AL12" s="371"/>
      <c r="AM12" s="371"/>
      <c r="AN12" s="371"/>
      <c r="AO12" s="371"/>
      <c r="AP12" s="371"/>
      <c r="AQ12" s="371"/>
      <c r="AR12" s="371"/>
      <c r="AS12" s="371"/>
      <c r="AT12" s="407"/>
      <c r="AU12" s="383"/>
      <c r="AV12" s="384"/>
      <c r="AW12" s="384"/>
      <c r="AX12" s="384"/>
      <c r="AY12" s="384"/>
      <c r="AZ12" s="410"/>
      <c r="BA12" s="410"/>
      <c r="BB12" s="410"/>
      <c r="BC12" s="410"/>
      <c r="BD12" s="410"/>
      <c r="BE12" s="384"/>
      <c r="BF12" s="384"/>
      <c r="BG12" s="384"/>
      <c r="BH12" s="384"/>
      <c r="BI12" s="384"/>
      <c r="BJ12" s="410"/>
      <c r="BK12" s="410"/>
      <c r="BL12" s="410"/>
      <c r="BM12" s="410"/>
      <c r="BN12" s="410"/>
      <c r="BO12" s="384"/>
      <c r="BP12" s="384"/>
      <c r="BQ12" s="384"/>
      <c r="BR12" s="384"/>
      <c r="BS12" s="384"/>
      <c r="BT12" s="410"/>
      <c r="BU12" s="410"/>
      <c r="BV12" s="410"/>
      <c r="BW12" s="410"/>
      <c r="BX12" s="410"/>
      <c r="BY12" s="384"/>
      <c r="BZ12" s="384"/>
      <c r="CA12" s="384"/>
      <c r="CB12" s="384"/>
      <c r="CC12" s="384"/>
      <c r="CD12" s="410"/>
      <c r="CE12" s="410"/>
      <c r="CF12" s="410"/>
      <c r="CG12" s="410"/>
      <c r="CH12" s="557"/>
      <c r="CI12" s="433" t="str">
        <f t="shared" si="0"/>
        <v/>
      </c>
      <c r="CJ12" s="434"/>
      <c r="CK12" s="434"/>
      <c r="CL12" s="434"/>
      <c r="CM12" s="435"/>
      <c r="CN12" s="609" t="str">
        <f t="shared" si="1"/>
        <v/>
      </c>
      <c r="CO12" s="610"/>
      <c r="CP12" s="610"/>
      <c r="CQ12" s="610"/>
      <c r="CR12" s="611"/>
      <c r="CS12" s="383"/>
      <c r="CT12" s="384"/>
      <c r="CU12" s="384"/>
      <c r="CV12" s="384"/>
      <c r="CW12" s="384"/>
      <c r="CX12" s="410"/>
      <c r="CY12" s="410"/>
      <c r="CZ12" s="410"/>
      <c r="DA12" s="410"/>
      <c r="DB12" s="557"/>
    </row>
    <row r="13" spans="2:106" ht="20.100000000000001" customHeight="1">
      <c r="B13" s="236" t="s">
        <v>96</v>
      </c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8"/>
      <c r="N13" s="377" t="s">
        <v>97</v>
      </c>
      <c r="O13" s="237"/>
      <c r="P13" s="378"/>
      <c r="Q13" s="319"/>
      <c r="R13" s="244"/>
      <c r="S13" s="244"/>
      <c r="T13" s="244"/>
      <c r="U13" s="244"/>
      <c r="V13" s="244"/>
      <c r="W13" s="244"/>
      <c r="X13" s="244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 t="s">
        <v>12</v>
      </c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336"/>
      <c r="AU13" s="458"/>
      <c r="AV13" s="459"/>
      <c r="AW13" s="459"/>
      <c r="AX13" s="459"/>
      <c r="AY13" s="459"/>
      <c r="AZ13" s="402"/>
      <c r="BA13" s="402"/>
      <c r="BB13" s="402"/>
      <c r="BC13" s="402"/>
      <c r="BD13" s="402"/>
      <c r="BE13" s="459"/>
      <c r="BF13" s="459"/>
      <c r="BG13" s="459"/>
      <c r="BH13" s="459"/>
      <c r="BI13" s="459"/>
      <c r="BJ13" s="402"/>
      <c r="BK13" s="402"/>
      <c r="BL13" s="402"/>
      <c r="BM13" s="402"/>
      <c r="BN13" s="402"/>
      <c r="BO13" s="459"/>
      <c r="BP13" s="459"/>
      <c r="BQ13" s="459"/>
      <c r="BR13" s="459"/>
      <c r="BS13" s="459"/>
      <c r="BT13" s="402"/>
      <c r="BU13" s="402"/>
      <c r="BV13" s="402"/>
      <c r="BW13" s="402"/>
      <c r="BX13" s="402"/>
      <c r="BY13" s="459"/>
      <c r="BZ13" s="459"/>
      <c r="CA13" s="459"/>
      <c r="CB13" s="459"/>
      <c r="CC13" s="459"/>
      <c r="CD13" s="402"/>
      <c r="CE13" s="402"/>
      <c r="CF13" s="402"/>
      <c r="CG13" s="402"/>
      <c r="CH13" s="618"/>
      <c r="CI13" s="575" t="str">
        <f t="shared" si="0"/>
        <v/>
      </c>
      <c r="CJ13" s="576"/>
      <c r="CK13" s="576"/>
      <c r="CL13" s="576"/>
      <c r="CM13" s="577"/>
      <c r="CN13" s="571" t="str">
        <f t="shared" si="1"/>
        <v/>
      </c>
      <c r="CO13" s="572"/>
      <c r="CP13" s="572"/>
      <c r="CQ13" s="572"/>
      <c r="CR13" s="573"/>
      <c r="CS13" s="458"/>
      <c r="CT13" s="459"/>
      <c r="CU13" s="459"/>
      <c r="CV13" s="459"/>
      <c r="CW13" s="459"/>
      <c r="CX13" s="402"/>
      <c r="CY13" s="402"/>
      <c r="CZ13" s="402"/>
      <c r="DA13" s="402"/>
      <c r="DB13" s="618"/>
    </row>
    <row r="14" spans="2:106" ht="20.100000000000001" customHeight="1" thickBot="1">
      <c r="B14" s="342" t="s">
        <v>98</v>
      </c>
      <c r="C14" s="343"/>
      <c r="D14" s="343"/>
      <c r="E14" s="343"/>
      <c r="F14" s="343"/>
      <c r="G14" s="343"/>
      <c r="H14" s="343"/>
      <c r="I14" s="343"/>
      <c r="J14" s="343"/>
      <c r="K14" s="343"/>
      <c r="L14" s="343"/>
      <c r="M14" s="344"/>
      <c r="N14" s="375" t="s">
        <v>99</v>
      </c>
      <c r="O14" s="343"/>
      <c r="P14" s="376"/>
      <c r="Q14" s="318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39"/>
      <c r="AR14" s="239"/>
      <c r="AS14" s="239"/>
      <c r="AT14" s="240"/>
      <c r="AU14" s="456"/>
      <c r="AV14" s="457"/>
      <c r="AW14" s="457"/>
      <c r="AX14" s="457"/>
      <c r="AY14" s="457"/>
      <c r="AZ14" s="488"/>
      <c r="BA14" s="488"/>
      <c r="BB14" s="488"/>
      <c r="BC14" s="488"/>
      <c r="BD14" s="488"/>
      <c r="BE14" s="457"/>
      <c r="BF14" s="457"/>
      <c r="BG14" s="457"/>
      <c r="BH14" s="457"/>
      <c r="BI14" s="457"/>
      <c r="BJ14" s="488"/>
      <c r="BK14" s="488"/>
      <c r="BL14" s="488"/>
      <c r="BM14" s="488"/>
      <c r="BN14" s="488"/>
      <c r="BO14" s="457"/>
      <c r="BP14" s="457"/>
      <c r="BQ14" s="457"/>
      <c r="BR14" s="457"/>
      <c r="BS14" s="457"/>
      <c r="BT14" s="488"/>
      <c r="BU14" s="488"/>
      <c r="BV14" s="488"/>
      <c r="BW14" s="488"/>
      <c r="BX14" s="488"/>
      <c r="BY14" s="457"/>
      <c r="BZ14" s="457"/>
      <c r="CA14" s="457"/>
      <c r="CB14" s="457"/>
      <c r="CC14" s="457"/>
      <c r="CD14" s="488"/>
      <c r="CE14" s="488"/>
      <c r="CF14" s="488"/>
      <c r="CG14" s="488"/>
      <c r="CH14" s="574"/>
      <c r="CI14" s="612" t="str">
        <f t="shared" si="0"/>
        <v/>
      </c>
      <c r="CJ14" s="613"/>
      <c r="CK14" s="613"/>
      <c r="CL14" s="613"/>
      <c r="CM14" s="614"/>
      <c r="CN14" s="615" t="str">
        <f t="shared" si="1"/>
        <v/>
      </c>
      <c r="CO14" s="616"/>
      <c r="CP14" s="616"/>
      <c r="CQ14" s="616"/>
      <c r="CR14" s="617"/>
      <c r="CS14" s="456"/>
      <c r="CT14" s="457"/>
      <c r="CU14" s="457"/>
      <c r="CV14" s="457"/>
      <c r="CW14" s="457"/>
      <c r="CX14" s="488"/>
      <c r="CY14" s="488"/>
      <c r="CZ14" s="488"/>
      <c r="DA14" s="488"/>
      <c r="DB14" s="574"/>
    </row>
    <row r="15" spans="2:106" ht="20.100000000000001" hidden="1" customHeight="1">
      <c r="B15" s="364"/>
      <c r="C15" s="355"/>
      <c r="D15" s="355"/>
      <c r="E15" s="355"/>
      <c r="F15" s="355"/>
      <c r="G15" s="355"/>
      <c r="H15" s="355"/>
      <c r="I15" s="355"/>
      <c r="J15" s="355"/>
      <c r="K15" s="355"/>
      <c r="L15" s="355"/>
      <c r="M15" s="365"/>
      <c r="N15" s="354"/>
      <c r="O15" s="355"/>
      <c r="P15" s="356"/>
      <c r="Q15" s="248"/>
      <c r="R15" s="241"/>
      <c r="S15" s="241"/>
      <c r="T15" s="241"/>
      <c r="U15" s="241"/>
      <c r="V15" s="241"/>
      <c r="W15" s="241"/>
      <c r="X15" s="241"/>
      <c r="Y15" s="241"/>
      <c r="Z15" s="241"/>
      <c r="AA15" s="241"/>
      <c r="AB15" s="241"/>
      <c r="AC15" s="241"/>
      <c r="AD15" s="241"/>
      <c r="AE15" s="241"/>
      <c r="AF15" s="241"/>
      <c r="AG15" s="241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7"/>
      <c r="AU15" s="548"/>
      <c r="AV15" s="443"/>
      <c r="AW15" s="443"/>
      <c r="AX15" s="443"/>
      <c r="AY15" s="443"/>
      <c r="AZ15" s="404"/>
      <c r="BA15" s="404"/>
      <c r="BB15" s="404"/>
      <c r="BC15" s="404"/>
      <c r="BD15" s="404"/>
      <c r="BE15" s="443"/>
      <c r="BF15" s="443"/>
      <c r="BG15" s="443"/>
      <c r="BH15" s="443"/>
      <c r="BI15" s="443"/>
      <c r="BJ15" s="404"/>
      <c r="BK15" s="404"/>
      <c r="BL15" s="404"/>
      <c r="BM15" s="404"/>
      <c r="BN15" s="404"/>
      <c r="BO15" s="443"/>
      <c r="BP15" s="443"/>
      <c r="BQ15" s="443"/>
      <c r="BR15" s="443"/>
      <c r="BS15" s="443"/>
      <c r="BT15" s="404"/>
      <c r="BU15" s="404"/>
      <c r="BV15" s="404"/>
      <c r="BW15" s="404"/>
      <c r="BX15" s="404"/>
      <c r="BY15" s="443"/>
      <c r="BZ15" s="443"/>
      <c r="CA15" s="443"/>
      <c r="CB15" s="443"/>
      <c r="CC15" s="443"/>
      <c r="CD15" s="404"/>
      <c r="CE15" s="404"/>
      <c r="CF15" s="404"/>
      <c r="CG15" s="404"/>
      <c r="CH15" s="522"/>
      <c r="CI15" s="589" t="str">
        <f t="shared" ref="CI15:CI16" si="2">IF(OR(B15="",SUM(AU15,BE15,BO15,BY15)=0),"",SUM(AU15,BE15,BO15,BY15))</f>
        <v/>
      </c>
      <c r="CJ15" s="590"/>
      <c r="CK15" s="590"/>
      <c r="CL15" s="590"/>
      <c r="CM15" s="591"/>
      <c r="CN15" s="592" t="str">
        <f t="shared" ref="CN15:CN16" si="3">IF(OR(B15="",SUM(AZ15,BJ15,BT15,CD15)=0),"",SUM(AZ15,BJ15,BT15,CD15))</f>
        <v/>
      </c>
      <c r="CO15" s="593"/>
      <c r="CP15" s="593"/>
      <c r="CQ15" s="593"/>
      <c r="CR15" s="594"/>
      <c r="CS15" s="548"/>
      <c r="CT15" s="443"/>
      <c r="CU15" s="443"/>
      <c r="CV15" s="443"/>
      <c r="CW15" s="443"/>
      <c r="CX15" s="404"/>
      <c r="CY15" s="404"/>
      <c r="CZ15" s="404"/>
      <c r="DA15" s="404"/>
      <c r="DB15" s="522"/>
    </row>
    <row r="16" spans="2:106" ht="20.100000000000001" hidden="1" customHeight="1">
      <c r="B16" s="366"/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67"/>
      <c r="N16" s="357"/>
      <c r="O16" s="358"/>
      <c r="P16" s="359"/>
      <c r="Q16" s="396"/>
      <c r="R16" s="385"/>
      <c r="S16" s="385"/>
      <c r="T16" s="385"/>
      <c r="U16" s="385"/>
      <c r="V16" s="385"/>
      <c r="W16" s="385"/>
      <c r="X16" s="385"/>
      <c r="Y16" s="385"/>
      <c r="Z16" s="385"/>
      <c r="AA16" s="385"/>
      <c r="AB16" s="385"/>
      <c r="AC16" s="385"/>
      <c r="AD16" s="385"/>
      <c r="AE16" s="385"/>
      <c r="AF16" s="385"/>
      <c r="AG16" s="385"/>
      <c r="AH16" s="385"/>
      <c r="AI16" s="385"/>
      <c r="AJ16" s="385"/>
      <c r="AK16" s="385"/>
      <c r="AL16" s="385"/>
      <c r="AM16" s="385"/>
      <c r="AN16" s="385"/>
      <c r="AO16" s="385"/>
      <c r="AP16" s="385"/>
      <c r="AQ16" s="385"/>
      <c r="AR16" s="385"/>
      <c r="AS16" s="385"/>
      <c r="AT16" s="489"/>
      <c r="AU16" s="568"/>
      <c r="AV16" s="444"/>
      <c r="AW16" s="444"/>
      <c r="AX16" s="444"/>
      <c r="AY16" s="444"/>
      <c r="AZ16" s="405"/>
      <c r="BA16" s="405"/>
      <c r="BB16" s="405"/>
      <c r="BC16" s="405"/>
      <c r="BD16" s="405"/>
      <c r="BE16" s="444"/>
      <c r="BF16" s="444"/>
      <c r="BG16" s="444"/>
      <c r="BH16" s="444"/>
      <c r="BI16" s="444"/>
      <c r="BJ16" s="405"/>
      <c r="BK16" s="405"/>
      <c r="BL16" s="405"/>
      <c r="BM16" s="405"/>
      <c r="BN16" s="405"/>
      <c r="BO16" s="444"/>
      <c r="BP16" s="444"/>
      <c r="BQ16" s="444"/>
      <c r="BR16" s="444"/>
      <c r="BS16" s="444"/>
      <c r="BT16" s="405"/>
      <c r="BU16" s="405"/>
      <c r="BV16" s="405"/>
      <c r="BW16" s="405"/>
      <c r="BX16" s="405"/>
      <c r="BY16" s="444"/>
      <c r="BZ16" s="444"/>
      <c r="CA16" s="444"/>
      <c r="CB16" s="444"/>
      <c r="CC16" s="444"/>
      <c r="CD16" s="405"/>
      <c r="CE16" s="405"/>
      <c r="CF16" s="405"/>
      <c r="CG16" s="405"/>
      <c r="CH16" s="523"/>
      <c r="CI16" s="532" t="str">
        <f t="shared" si="2"/>
        <v/>
      </c>
      <c r="CJ16" s="533"/>
      <c r="CK16" s="533"/>
      <c r="CL16" s="533"/>
      <c r="CM16" s="534"/>
      <c r="CN16" s="535" t="str">
        <f t="shared" si="3"/>
        <v/>
      </c>
      <c r="CO16" s="536"/>
      <c r="CP16" s="536"/>
      <c r="CQ16" s="536"/>
      <c r="CR16" s="537"/>
      <c r="CS16" s="568"/>
      <c r="CT16" s="444"/>
      <c r="CU16" s="444"/>
      <c r="CV16" s="444"/>
      <c r="CW16" s="444"/>
      <c r="CX16" s="405"/>
      <c r="CY16" s="405"/>
      <c r="CZ16" s="405"/>
      <c r="DA16" s="405"/>
      <c r="DB16" s="523"/>
    </row>
    <row r="17" spans="2:107" ht="20.100000000000001" hidden="1" customHeight="1">
      <c r="B17" s="348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50"/>
      <c r="N17" s="386"/>
      <c r="O17" s="349"/>
      <c r="P17" s="387"/>
      <c r="Q17" s="379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490"/>
      <c r="AU17" s="580"/>
      <c r="AV17" s="495"/>
      <c r="AW17" s="495"/>
      <c r="AX17" s="495"/>
      <c r="AY17" s="495"/>
      <c r="AZ17" s="460"/>
      <c r="BA17" s="460"/>
      <c r="BB17" s="460"/>
      <c r="BC17" s="460"/>
      <c r="BD17" s="460"/>
      <c r="BE17" s="495"/>
      <c r="BF17" s="495"/>
      <c r="BG17" s="495"/>
      <c r="BH17" s="495"/>
      <c r="BI17" s="495"/>
      <c r="BJ17" s="460"/>
      <c r="BK17" s="460"/>
      <c r="BL17" s="460"/>
      <c r="BM17" s="460"/>
      <c r="BN17" s="460"/>
      <c r="BO17" s="495"/>
      <c r="BP17" s="495"/>
      <c r="BQ17" s="495"/>
      <c r="BR17" s="495"/>
      <c r="BS17" s="495"/>
      <c r="BT17" s="460"/>
      <c r="BU17" s="460"/>
      <c r="BV17" s="460"/>
      <c r="BW17" s="460"/>
      <c r="BX17" s="460"/>
      <c r="BY17" s="495"/>
      <c r="BZ17" s="495"/>
      <c r="CA17" s="495"/>
      <c r="CB17" s="495"/>
      <c r="CC17" s="495"/>
      <c r="CD17" s="460"/>
      <c r="CE17" s="460"/>
      <c r="CF17" s="460"/>
      <c r="CG17" s="460"/>
      <c r="CH17" s="588"/>
      <c r="CI17" s="595" t="str">
        <f>IF(OR(B17="",SUM(AU17,BE17,BO17,BY17)=0),"",SUM(AU17,BE17,BO17,BY17))</f>
        <v/>
      </c>
      <c r="CJ17" s="596"/>
      <c r="CK17" s="596"/>
      <c r="CL17" s="596"/>
      <c r="CM17" s="597"/>
      <c r="CN17" s="598" t="str">
        <f>IF(OR(B17="",SUM(AZ17,BJ17,BT17,CD17)=0),"",SUM(AZ17,BJ17,BT17,CD17))</f>
        <v/>
      </c>
      <c r="CO17" s="599"/>
      <c r="CP17" s="599"/>
      <c r="CQ17" s="599"/>
      <c r="CR17" s="600"/>
      <c r="CS17" s="580"/>
      <c r="CT17" s="495"/>
      <c r="CU17" s="495"/>
      <c r="CV17" s="495"/>
      <c r="CW17" s="495"/>
      <c r="CX17" s="460"/>
      <c r="CY17" s="460"/>
      <c r="CZ17" s="460"/>
      <c r="DA17" s="460"/>
      <c r="DB17" s="588"/>
    </row>
    <row r="18" spans="2:107" ht="20.100000000000001" hidden="1" customHeight="1">
      <c r="B18" s="249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1"/>
      <c r="N18" s="252"/>
      <c r="O18" s="250"/>
      <c r="P18" s="253"/>
      <c r="Q18" s="254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6"/>
      <c r="AU18" s="337"/>
      <c r="AV18" s="338"/>
      <c r="AW18" s="338"/>
      <c r="AX18" s="338"/>
      <c r="AY18" s="338"/>
      <c r="AZ18" s="493"/>
      <c r="BA18" s="493"/>
      <c r="BB18" s="493"/>
      <c r="BC18" s="493"/>
      <c r="BD18" s="493"/>
      <c r="BE18" s="338"/>
      <c r="BF18" s="338"/>
      <c r="BG18" s="338"/>
      <c r="BH18" s="338"/>
      <c r="BI18" s="338"/>
      <c r="BJ18" s="493"/>
      <c r="BK18" s="493"/>
      <c r="BL18" s="493"/>
      <c r="BM18" s="493"/>
      <c r="BN18" s="493"/>
      <c r="BO18" s="338"/>
      <c r="BP18" s="338"/>
      <c r="BQ18" s="338"/>
      <c r="BR18" s="338"/>
      <c r="BS18" s="338"/>
      <c r="BT18" s="493"/>
      <c r="BU18" s="493"/>
      <c r="BV18" s="493"/>
      <c r="BW18" s="493"/>
      <c r="BX18" s="493"/>
      <c r="BY18" s="338"/>
      <c r="BZ18" s="338"/>
      <c r="CA18" s="338"/>
      <c r="CB18" s="338"/>
      <c r="CC18" s="338"/>
      <c r="CD18" s="493"/>
      <c r="CE18" s="493"/>
      <c r="CF18" s="493"/>
      <c r="CG18" s="493"/>
      <c r="CH18" s="494"/>
      <c r="CI18" s="519" t="str">
        <f>IF(OR(B18="",SUM(AU18,BE18,BO18,BY18)=0),"",SUM(AU18,BE18,BO18,BY18))</f>
        <v/>
      </c>
      <c r="CJ18" s="520"/>
      <c r="CK18" s="520"/>
      <c r="CL18" s="520"/>
      <c r="CM18" s="521"/>
      <c r="CN18" s="539" t="str">
        <f>IF(OR(B18="",SUM(AZ18,BJ18,BT18,CD18)=0),"",SUM(AZ18,BJ18,BT18,CD18))</f>
        <v/>
      </c>
      <c r="CO18" s="540"/>
      <c r="CP18" s="540"/>
      <c r="CQ18" s="540"/>
      <c r="CR18" s="541"/>
      <c r="CS18" s="337"/>
      <c r="CT18" s="338"/>
      <c r="CU18" s="338"/>
      <c r="CV18" s="338"/>
      <c r="CW18" s="338"/>
      <c r="CX18" s="493"/>
      <c r="CY18" s="493"/>
      <c r="CZ18" s="493"/>
      <c r="DA18" s="493"/>
      <c r="DB18" s="494"/>
    </row>
    <row r="19" spans="2:107" ht="20.100000000000001" hidden="1" customHeight="1">
      <c r="B19" s="255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7"/>
      <c r="N19" s="399"/>
      <c r="O19" s="256"/>
      <c r="P19" s="400"/>
      <c r="Q19" s="401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/>
      <c r="AE19" s="242"/>
      <c r="AF19" s="242"/>
      <c r="AG19" s="242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3"/>
      <c r="AU19" s="581"/>
      <c r="AV19" s="445"/>
      <c r="AW19" s="445"/>
      <c r="AX19" s="445"/>
      <c r="AY19" s="445"/>
      <c r="AZ19" s="530"/>
      <c r="BA19" s="530"/>
      <c r="BB19" s="530"/>
      <c r="BC19" s="530"/>
      <c r="BD19" s="530"/>
      <c r="BE19" s="445"/>
      <c r="BF19" s="445"/>
      <c r="BG19" s="445"/>
      <c r="BH19" s="445"/>
      <c r="BI19" s="445"/>
      <c r="BJ19" s="530"/>
      <c r="BK19" s="530"/>
      <c r="BL19" s="530"/>
      <c r="BM19" s="530"/>
      <c r="BN19" s="530"/>
      <c r="BO19" s="445"/>
      <c r="BP19" s="445"/>
      <c r="BQ19" s="445"/>
      <c r="BR19" s="445"/>
      <c r="BS19" s="445"/>
      <c r="BT19" s="530"/>
      <c r="BU19" s="530"/>
      <c r="BV19" s="530"/>
      <c r="BW19" s="530"/>
      <c r="BX19" s="530"/>
      <c r="BY19" s="445"/>
      <c r="BZ19" s="445"/>
      <c r="CA19" s="445"/>
      <c r="CB19" s="445"/>
      <c r="CC19" s="445"/>
      <c r="CD19" s="530"/>
      <c r="CE19" s="530"/>
      <c r="CF19" s="530"/>
      <c r="CG19" s="530"/>
      <c r="CH19" s="531"/>
      <c r="CI19" s="549" t="str">
        <f>IF(OR(B19="",SUM(AU19,BE19,BO19,BY19)=0),"",SUM(AU19,BE19,BO19,BY19))</f>
        <v/>
      </c>
      <c r="CJ19" s="550"/>
      <c r="CK19" s="550"/>
      <c r="CL19" s="550"/>
      <c r="CM19" s="551"/>
      <c r="CN19" s="552" t="str">
        <f>IF(OR(B19="",SUM(AZ19,BJ19,BT19,CD19)=0),"",SUM(AZ19,BJ19,BT19,CD19))</f>
        <v/>
      </c>
      <c r="CO19" s="553"/>
      <c r="CP19" s="553"/>
      <c r="CQ19" s="553"/>
      <c r="CR19" s="554"/>
      <c r="CS19" s="581"/>
      <c r="CT19" s="445"/>
      <c r="CU19" s="445"/>
      <c r="CV19" s="445"/>
      <c r="CW19" s="445"/>
      <c r="CX19" s="530"/>
      <c r="CY19" s="530"/>
      <c r="CZ19" s="530"/>
      <c r="DA19" s="530"/>
      <c r="DB19" s="531"/>
    </row>
    <row r="20" spans="2:107" ht="20.100000000000001" hidden="1" customHeight="1">
      <c r="B20" s="268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70"/>
      <c r="N20" s="392"/>
      <c r="O20" s="269"/>
      <c r="P20" s="393"/>
      <c r="Q20" s="38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71"/>
      <c r="AO20" s="271"/>
      <c r="AP20" s="271"/>
      <c r="AQ20" s="271"/>
      <c r="AR20" s="271"/>
      <c r="AS20" s="271"/>
      <c r="AT20" s="272"/>
      <c r="AU20" s="560"/>
      <c r="AV20" s="446"/>
      <c r="AW20" s="446"/>
      <c r="AX20" s="446"/>
      <c r="AY20" s="446"/>
      <c r="AZ20" s="290"/>
      <c r="BA20" s="290"/>
      <c r="BB20" s="290"/>
      <c r="BC20" s="290"/>
      <c r="BD20" s="290"/>
      <c r="BE20" s="446"/>
      <c r="BF20" s="446"/>
      <c r="BG20" s="446"/>
      <c r="BH20" s="446"/>
      <c r="BI20" s="446"/>
      <c r="BJ20" s="290"/>
      <c r="BK20" s="290"/>
      <c r="BL20" s="290"/>
      <c r="BM20" s="290"/>
      <c r="BN20" s="290"/>
      <c r="BO20" s="446"/>
      <c r="BP20" s="446"/>
      <c r="BQ20" s="446"/>
      <c r="BR20" s="446"/>
      <c r="BS20" s="446"/>
      <c r="BT20" s="290"/>
      <c r="BU20" s="290"/>
      <c r="BV20" s="290"/>
      <c r="BW20" s="290"/>
      <c r="BX20" s="290"/>
      <c r="BY20" s="446"/>
      <c r="BZ20" s="446"/>
      <c r="CA20" s="446"/>
      <c r="CB20" s="446"/>
      <c r="CC20" s="446"/>
      <c r="CD20" s="290"/>
      <c r="CE20" s="290"/>
      <c r="CF20" s="290"/>
      <c r="CG20" s="290"/>
      <c r="CH20" s="538"/>
      <c r="CI20" s="524" t="str">
        <f>IF(OR(B20="",SUM(AU20,BE20,BO20,BY20)=0),"",SUM(AU20,BE20,BO20,BY20))</f>
        <v/>
      </c>
      <c r="CJ20" s="525"/>
      <c r="CK20" s="525"/>
      <c r="CL20" s="525"/>
      <c r="CM20" s="526"/>
      <c r="CN20" s="527" t="str">
        <f>IF(OR(B20="",SUM(AZ20,BJ20,BT20,CD20)=0),"",SUM(AZ20,BJ20,BT20,CD20))</f>
        <v/>
      </c>
      <c r="CO20" s="528"/>
      <c r="CP20" s="528"/>
      <c r="CQ20" s="528"/>
      <c r="CR20" s="529"/>
      <c r="CS20" s="560"/>
      <c r="CT20" s="446"/>
      <c r="CU20" s="446"/>
      <c r="CV20" s="446"/>
      <c r="CW20" s="446"/>
      <c r="CX20" s="290"/>
      <c r="CY20" s="290"/>
      <c r="CZ20" s="290"/>
      <c r="DA20" s="290"/>
      <c r="DB20" s="538"/>
    </row>
    <row r="21" spans="2:107" ht="20.100000000000001" hidden="1" customHeight="1">
      <c r="B21" s="305"/>
      <c r="C21" s="306"/>
      <c r="D21" s="306"/>
      <c r="E21" s="306"/>
      <c r="F21" s="306"/>
      <c r="G21" s="306"/>
      <c r="H21" s="306"/>
      <c r="I21" s="306"/>
      <c r="J21" s="306"/>
      <c r="K21" s="306"/>
      <c r="L21" s="306"/>
      <c r="M21" s="307"/>
      <c r="N21" s="397"/>
      <c r="O21" s="306"/>
      <c r="P21" s="398"/>
      <c r="Q21" s="380"/>
      <c r="R21" s="258"/>
      <c r="S21" s="258"/>
      <c r="T21" s="258"/>
      <c r="U21" s="258"/>
      <c r="V21" s="258"/>
      <c r="W21" s="258"/>
      <c r="X21" s="258"/>
      <c r="Y21" s="258"/>
      <c r="Z21" s="258"/>
      <c r="AA21" s="258"/>
      <c r="AB21" s="258"/>
      <c r="AC21" s="258"/>
      <c r="AD21" s="258"/>
      <c r="AE21" s="258"/>
      <c r="AF21" s="258"/>
      <c r="AG21" s="258"/>
      <c r="AH21" s="258"/>
      <c r="AI21" s="258"/>
      <c r="AJ21" s="258"/>
      <c r="AK21" s="258"/>
      <c r="AL21" s="258"/>
      <c r="AM21" s="258"/>
      <c r="AN21" s="258"/>
      <c r="AO21" s="258"/>
      <c r="AP21" s="258"/>
      <c r="AQ21" s="258"/>
      <c r="AR21" s="258"/>
      <c r="AS21" s="258"/>
      <c r="AT21" s="308"/>
      <c r="AU21" s="455"/>
      <c r="AV21" s="288"/>
      <c r="AW21" s="288"/>
      <c r="AX21" s="288"/>
      <c r="AY21" s="288"/>
      <c r="AZ21" s="289"/>
      <c r="BA21" s="289"/>
      <c r="BB21" s="289"/>
      <c r="BC21" s="289"/>
      <c r="BD21" s="289"/>
      <c r="BE21" s="288"/>
      <c r="BF21" s="288"/>
      <c r="BG21" s="288"/>
      <c r="BH21" s="288"/>
      <c r="BI21" s="288"/>
      <c r="BJ21" s="289"/>
      <c r="BK21" s="289"/>
      <c r="BL21" s="289"/>
      <c r="BM21" s="289"/>
      <c r="BN21" s="289"/>
      <c r="BO21" s="288"/>
      <c r="BP21" s="288"/>
      <c r="BQ21" s="288"/>
      <c r="BR21" s="288"/>
      <c r="BS21" s="288"/>
      <c r="BT21" s="289"/>
      <c r="BU21" s="289"/>
      <c r="BV21" s="289"/>
      <c r="BW21" s="289"/>
      <c r="BX21" s="289"/>
      <c r="BY21" s="288"/>
      <c r="BZ21" s="288"/>
      <c r="CA21" s="288"/>
      <c r="CB21" s="288"/>
      <c r="CC21" s="288"/>
      <c r="CD21" s="289"/>
      <c r="CE21" s="289"/>
      <c r="CF21" s="289"/>
      <c r="CG21" s="289"/>
      <c r="CH21" s="492"/>
      <c r="CI21" s="542" t="str">
        <f t="shared" ref="CI21:CI23" si="4">IF(OR(B21="",SUM(AU21,BE21,BO21,BY21)=0),"",SUM(AU21,BE21,BO21,BY21))</f>
        <v/>
      </c>
      <c r="CJ21" s="543"/>
      <c r="CK21" s="543"/>
      <c r="CL21" s="543"/>
      <c r="CM21" s="544"/>
      <c r="CN21" s="545" t="str">
        <f t="shared" ref="CN21:CN23" si="5">IF(OR(B21="",SUM(AZ21,BJ21,BT21,CD21)=0),"",SUM(AZ21,BJ21,BT21,CD21))</f>
        <v/>
      </c>
      <c r="CO21" s="546"/>
      <c r="CP21" s="546"/>
      <c r="CQ21" s="546"/>
      <c r="CR21" s="547"/>
      <c r="CS21" s="455"/>
      <c r="CT21" s="288"/>
      <c r="CU21" s="288"/>
      <c r="CV21" s="288"/>
      <c r="CW21" s="288"/>
      <c r="CX21" s="289"/>
      <c r="CY21" s="289"/>
      <c r="CZ21" s="289"/>
      <c r="DA21" s="289"/>
      <c r="DB21" s="492"/>
    </row>
    <row r="22" spans="2:107" ht="20.100000000000001" hidden="1" customHeight="1">
      <c r="B22" s="309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1"/>
      <c r="N22" s="388"/>
      <c r="O22" s="310"/>
      <c r="P22" s="389"/>
      <c r="Q22" s="301"/>
      <c r="R22" s="259"/>
      <c r="S22" s="259"/>
      <c r="T22" s="259"/>
      <c r="U22" s="259"/>
      <c r="V22" s="259"/>
      <c r="W22" s="259"/>
      <c r="X22" s="259"/>
      <c r="Y22" s="259"/>
      <c r="Z22" s="259"/>
      <c r="AA22" s="259"/>
      <c r="AB22" s="259"/>
      <c r="AC22" s="259"/>
      <c r="AD22" s="259"/>
      <c r="AE22" s="259"/>
      <c r="AF22" s="259"/>
      <c r="AG22" s="259"/>
      <c r="AH22" s="259"/>
      <c r="AI22" s="259"/>
      <c r="AJ22" s="259"/>
      <c r="AK22" s="259"/>
      <c r="AL22" s="259"/>
      <c r="AM22" s="259"/>
      <c r="AN22" s="259"/>
      <c r="AO22" s="259"/>
      <c r="AP22" s="259"/>
      <c r="AQ22" s="259"/>
      <c r="AR22" s="259"/>
      <c r="AS22" s="259"/>
      <c r="AT22" s="491"/>
      <c r="AU22" s="452"/>
      <c r="AV22" s="279"/>
      <c r="AW22" s="279"/>
      <c r="AX22" s="279"/>
      <c r="AY22" s="279"/>
      <c r="AZ22" s="284"/>
      <c r="BA22" s="284"/>
      <c r="BB22" s="284"/>
      <c r="BC22" s="284"/>
      <c r="BD22" s="284"/>
      <c r="BE22" s="279"/>
      <c r="BF22" s="279"/>
      <c r="BG22" s="279"/>
      <c r="BH22" s="279"/>
      <c r="BI22" s="279"/>
      <c r="BJ22" s="284"/>
      <c r="BK22" s="284"/>
      <c r="BL22" s="284"/>
      <c r="BM22" s="284"/>
      <c r="BN22" s="284"/>
      <c r="BO22" s="279"/>
      <c r="BP22" s="279"/>
      <c r="BQ22" s="279"/>
      <c r="BR22" s="279"/>
      <c r="BS22" s="279"/>
      <c r="BT22" s="284"/>
      <c r="BU22" s="284"/>
      <c r="BV22" s="284"/>
      <c r="BW22" s="284"/>
      <c r="BX22" s="284"/>
      <c r="BY22" s="279"/>
      <c r="BZ22" s="279"/>
      <c r="CA22" s="279"/>
      <c r="CB22" s="279"/>
      <c r="CC22" s="279"/>
      <c r="CD22" s="284"/>
      <c r="CE22" s="284"/>
      <c r="CF22" s="284"/>
      <c r="CG22" s="284"/>
      <c r="CH22" s="286"/>
      <c r="CI22" s="497" t="str">
        <f>IF(OR(B22="",SUM(AU22,BE22,BO22,BY22)=0),"",SUM(AU22,BE22,BO22,BY22))</f>
        <v/>
      </c>
      <c r="CJ22" s="498"/>
      <c r="CK22" s="498"/>
      <c r="CL22" s="498"/>
      <c r="CM22" s="499"/>
      <c r="CN22" s="500" t="str">
        <f>IF(OR(B22="",SUM(AZ22,BJ22,BT22,CD22)=0),"",SUM(AZ22,BJ22,BT22,CD22))</f>
        <v/>
      </c>
      <c r="CO22" s="501"/>
      <c r="CP22" s="501"/>
      <c r="CQ22" s="501"/>
      <c r="CR22" s="502"/>
      <c r="CS22" s="452"/>
      <c r="CT22" s="279"/>
      <c r="CU22" s="279"/>
      <c r="CV22" s="279"/>
      <c r="CW22" s="279"/>
      <c r="CX22" s="284"/>
      <c r="CY22" s="284"/>
      <c r="CZ22" s="284"/>
      <c r="DA22" s="284"/>
      <c r="DB22" s="286"/>
    </row>
    <row r="23" spans="2:107" ht="20.100000000000001" hidden="1" customHeight="1" thickBot="1">
      <c r="B23" s="312"/>
      <c r="C23" s="313"/>
      <c r="D23" s="313"/>
      <c r="E23" s="313"/>
      <c r="F23" s="313"/>
      <c r="G23" s="313"/>
      <c r="H23" s="313"/>
      <c r="I23" s="313"/>
      <c r="J23" s="313"/>
      <c r="K23" s="313"/>
      <c r="L23" s="313"/>
      <c r="M23" s="314"/>
      <c r="N23" s="390"/>
      <c r="O23" s="313"/>
      <c r="P23" s="391"/>
      <c r="Q23" s="302"/>
      <c r="R23" s="261"/>
      <c r="S23" s="261"/>
      <c r="T23" s="261"/>
      <c r="U23" s="261"/>
      <c r="V23" s="261"/>
      <c r="W23" s="261"/>
      <c r="X23" s="261"/>
      <c r="Y23" s="261"/>
      <c r="Z23" s="261"/>
      <c r="AA23" s="261"/>
      <c r="AB23" s="261"/>
      <c r="AC23" s="261"/>
      <c r="AD23" s="261"/>
      <c r="AE23" s="261"/>
      <c r="AF23" s="261"/>
      <c r="AG23" s="261"/>
      <c r="AH23" s="261"/>
      <c r="AI23" s="261"/>
      <c r="AJ23" s="261"/>
      <c r="AK23" s="261"/>
      <c r="AL23" s="261"/>
      <c r="AM23" s="261"/>
      <c r="AN23" s="261"/>
      <c r="AO23" s="261"/>
      <c r="AP23" s="261"/>
      <c r="AQ23" s="261"/>
      <c r="AR23" s="261"/>
      <c r="AS23" s="261"/>
      <c r="AT23" s="315"/>
      <c r="AU23" s="453"/>
      <c r="AV23" s="280"/>
      <c r="AW23" s="280"/>
      <c r="AX23" s="280"/>
      <c r="AY23" s="280"/>
      <c r="AZ23" s="285"/>
      <c r="BA23" s="285"/>
      <c r="BB23" s="285"/>
      <c r="BC23" s="285"/>
      <c r="BD23" s="285"/>
      <c r="BE23" s="280"/>
      <c r="BF23" s="280"/>
      <c r="BG23" s="280"/>
      <c r="BH23" s="280"/>
      <c r="BI23" s="280"/>
      <c r="BJ23" s="285"/>
      <c r="BK23" s="285"/>
      <c r="BL23" s="285"/>
      <c r="BM23" s="285"/>
      <c r="BN23" s="285"/>
      <c r="BO23" s="280"/>
      <c r="BP23" s="280"/>
      <c r="BQ23" s="280"/>
      <c r="BR23" s="280"/>
      <c r="BS23" s="280"/>
      <c r="BT23" s="285"/>
      <c r="BU23" s="285"/>
      <c r="BV23" s="285"/>
      <c r="BW23" s="285"/>
      <c r="BX23" s="285"/>
      <c r="BY23" s="280"/>
      <c r="BZ23" s="280"/>
      <c r="CA23" s="280"/>
      <c r="CB23" s="280"/>
      <c r="CC23" s="280"/>
      <c r="CD23" s="285"/>
      <c r="CE23" s="285"/>
      <c r="CF23" s="285"/>
      <c r="CG23" s="285"/>
      <c r="CH23" s="287"/>
      <c r="CI23" s="582" t="str">
        <f t="shared" si="4"/>
        <v/>
      </c>
      <c r="CJ23" s="583"/>
      <c r="CK23" s="583"/>
      <c r="CL23" s="583"/>
      <c r="CM23" s="584"/>
      <c r="CN23" s="585" t="str">
        <f t="shared" si="5"/>
        <v/>
      </c>
      <c r="CO23" s="586"/>
      <c r="CP23" s="586"/>
      <c r="CQ23" s="586"/>
      <c r="CR23" s="587"/>
      <c r="CS23" s="453"/>
      <c r="CT23" s="280"/>
      <c r="CU23" s="280"/>
      <c r="CV23" s="280"/>
      <c r="CW23" s="280"/>
      <c r="CX23" s="285"/>
      <c r="CY23" s="285"/>
      <c r="CZ23" s="285"/>
      <c r="DA23" s="285"/>
      <c r="DB23" s="287"/>
    </row>
    <row r="24" spans="2:107" ht="20.100000000000001" hidden="1" customHeight="1" thickTop="1" thickBot="1">
      <c r="B24" s="194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5"/>
      <c r="AV24" s="195"/>
      <c r="AW24" s="195"/>
      <c r="AX24" s="195"/>
      <c r="AY24" s="195"/>
      <c r="AZ24" s="196"/>
      <c r="BA24" s="196"/>
      <c r="BB24" s="196"/>
      <c r="BC24" s="196"/>
      <c r="BD24" s="196"/>
      <c r="BE24" s="195"/>
      <c r="BF24" s="195"/>
      <c r="BG24" s="195"/>
      <c r="BH24" s="195"/>
      <c r="BI24" s="195"/>
      <c r="BJ24" s="196"/>
      <c r="BK24" s="196"/>
      <c r="BL24" s="196"/>
      <c r="BM24" s="196"/>
      <c r="BN24" s="196"/>
      <c r="BO24" s="195"/>
      <c r="BP24" s="195"/>
      <c r="BQ24" s="195"/>
      <c r="BR24" s="195"/>
      <c r="BS24" s="195"/>
      <c r="BT24" s="196"/>
      <c r="BU24" s="196"/>
      <c r="BV24" s="196"/>
      <c r="BW24" s="196"/>
      <c r="BX24" s="196"/>
      <c r="BY24" s="195"/>
      <c r="BZ24" s="195"/>
      <c r="CA24" s="195"/>
      <c r="CB24" s="195"/>
      <c r="CC24" s="195"/>
      <c r="CD24" s="196"/>
      <c r="CE24" s="196"/>
      <c r="CF24" s="196"/>
      <c r="CG24" s="196"/>
      <c r="CH24" s="196"/>
      <c r="CI24" s="195"/>
      <c r="CJ24" s="195"/>
      <c r="CK24" s="195"/>
      <c r="CL24" s="195"/>
      <c r="CM24" s="195"/>
      <c r="CN24" s="196"/>
      <c r="CO24" s="196"/>
      <c r="CP24" s="196"/>
      <c r="CQ24" s="196"/>
      <c r="CR24" s="196"/>
      <c r="CS24" s="195"/>
      <c r="CT24" s="195"/>
      <c r="CU24" s="195"/>
      <c r="CV24" s="195"/>
      <c r="CW24" s="195"/>
      <c r="CX24" s="196"/>
      <c r="CY24" s="196"/>
      <c r="CZ24" s="196"/>
      <c r="DA24" s="196"/>
      <c r="DB24" s="196"/>
    </row>
    <row r="25" spans="2:107" ht="19.5" customHeight="1" thickTop="1" thickBot="1">
      <c r="B25" s="303"/>
      <c r="C25" s="304"/>
      <c r="D25" s="304"/>
      <c r="E25" s="304"/>
      <c r="F25" s="304"/>
      <c r="G25" s="304"/>
      <c r="H25" s="304"/>
      <c r="I25" s="304"/>
      <c r="J25" s="304"/>
      <c r="K25" s="304"/>
      <c r="L25" s="304"/>
      <c r="M25" s="304"/>
      <c r="N25" s="304"/>
      <c r="O25" s="304"/>
      <c r="P25" s="304"/>
      <c r="Q25" s="262">
        <f>SUM(Q8:S24)</f>
        <v>8</v>
      </c>
      <c r="R25" s="263"/>
      <c r="S25" s="264"/>
      <c r="T25" s="262">
        <f>SUM(T8:V24)</f>
        <v>327</v>
      </c>
      <c r="U25" s="263"/>
      <c r="V25" s="264"/>
      <c r="W25" s="262">
        <f>SUM(W8:Y24)</f>
        <v>0</v>
      </c>
      <c r="X25" s="263"/>
      <c r="Y25" s="264"/>
      <c r="Z25" s="262">
        <f>SUM(Z8:AB24)</f>
        <v>0</v>
      </c>
      <c r="AA25" s="263"/>
      <c r="AB25" s="264"/>
      <c r="AC25" s="262">
        <f>SUM(AC8:AE24)</f>
        <v>0</v>
      </c>
      <c r="AD25" s="263"/>
      <c r="AE25" s="264"/>
      <c r="AF25" s="262">
        <f>SUM(AF8:AH24)</f>
        <v>0</v>
      </c>
      <c r="AG25" s="263"/>
      <c r="AH25" s="264"/>
      <c r="AI25" s="262">
        <f>SUM(AI8:AK24)</f>
        <v>0</v>
      </c>
      <c r="AJ25" s="263"/>
      <c r="AK25" s="264"/>
      <c r="AL25" s="262">
        <f>SUM(AL8:AN24)</f>
        <v>0</v>
      </c>
      <c r="AM25" s="263"/>
      <c r="AN25" s="264"/>
      <c r="AO25" s="262">
        <f>SUM(AO8:AQ24)</f>
        <v>0</v>
      </c>
      <c r="AP25" s="263"/>
      <c r="AQ25" s="264"/>
      <c r="AR25" s="262">
        <f>SUM(AR8:AT24)</f>
        <v>0</v>
      </c>
      <c r="AS25" s="263"/>
      <c r="AT25" s="264"/>
      <c r="AU25" s="449">
        <f>SUM(AU8:AY24)</f>
        <v>119</v>
      </c>
      <c r="AV25" s="450"/>
      <c r="AW25" s="450"/>
      <c r="AX25" s="450"/>
      <c r="AY25" s="451"/>
      <c r="AZ25" s="281">
        <f>SUM(AZ8:BD24)</f>
        <v>175.5</v>
      </c>
      <c r="BA25" s="282"/>
      <c r="BB25" s="282"/>
      <c r="BC25" s="282"/>
      <c r="BD25" s="283"/>
      <c r="BE25" s="449">
        <f>SUM(BE8:BI24)</f>
        <v>121</v>
      </c>
      <c r="BF25" s="450"/>
      <c r="BG25" s="450"/>
      <c r="BH25" s="450"/>
      <c r="BI25" s="451"/>
      <c r="BJ25" s="281">
        <f>SUM(BJ8:BN24)</f>
        <v>195.6</v>
      </c>
      <c r="BK25" s="282"/>
      <c r="BL25" s="282"/>
      <c r="BM25" s="282"/>
      <c r="BN25" s="283"/>
      <c r="BO25" s="449">
        <f>SUM(BO8:BS24)</f>
        <v>75</v>
      </c>
      <c r="BP25" s="450"/>
      <c r="BQ25" s="450"/>
      <c r="BR25" s="450"/>
      <c r="BS25" s="451"/>
      <c r="BT25" s="281">
        <f>SUM(BT8:BX24)</f>
        <v>95.6</v>
      </c>
      <c r="BU25" s="282"/>
      <c r="BV25" s="282"/>
      <c r="BW25" s="282"/>
      <c r="BX25" s="283"/>
      <c r="BY25" s="449">
        <f>SUM(BY8:CC24)</f>
        <v>0</v>
      </c>
      <c r="BZ25" s="450"/>
      <c r="CA25" s="450"/>
      <c r="CB25" s="450"/>
      <c r="CC25" s="451"/>
      <c r="CD25" s="281">
        <f>SUM(CD8:CH24)</f>
        <v>0</v>
      </c>
      <c r="CE25" s="282"/>
      <c r="CF25" s="282"/>
      <c r="CG25" s="282"/>
      <c r="CH25" s="283"/>
      <c r="CI25" s="303"/>
      <c r="CJ25" s="304"/>
      <c r="CK25" s="304"/>
      <c r="CL25" s="304"/>
      <c r="CM25" s="304"/>
      <c r="CN25" s="304"/>
      <c r="CO25" s="304"/>
      <c r="CP25" s="304"/>
      <c r="CQ25" s="304"/>
      <c r="CR25" s="304"/>
      <c r="CS25" s="304"/>
      <c r="CT25" s="304"/>
      <c r="CU25" s="304"/>
      <c r="CV25" s="304"/>
      <c r="CW25" s="304"/>
      <c r="CX25" s="304"/>
      <c r="CY25" s="304"/>
      <c r="CZ25" s="304"/>
      <c r="DA25" s="304"/>
      <c r="DB25" s="496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265">
        <f>SUM(Q25:AT25)</f>
        <v>335</v>
      </c>
      <c r="AQ26" s="266"/>
      <c r="AR26" s="266"/>
      <c r="AS26" s="266"/>
      <c r="AT26" s="26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265">
        <f>SUM(CI8:CM24)</f>
        <v>315</v>
      </c>
      <c r="CJ26" s="266"/>
      <c r="CK26" s="266"/>
      <c r="CL26" s="266"/>
      <c r="CM26" s="267"/>
      <c r="CN26" s="504">
        <f>SUM(CN8:CR24)</f>
        <v>466.70000000000005</v>
      </c>
      <c r="CO26" s="505"/>
      <c r="CP26" s="505"/>
      <c r="CQ26" s="505"/>
      <c r="CR26" s="506"/>
      <c r="CS26" s="265">
        <f>SUM(CS8:CW24)</f>
        <v>20</v>
      </c>
      <c r="CT26" s="266"/>
      <c r="CU26" s="266"/>
      <c r="CV26" s="266"/>
      <c r="CW26" s="267"/>
      <c r="CX26" s="265">
        <f>SUM(CX7:DB23)</f>
        <v>51.3</v>
      </c>
      <c r="CY26" s="266"/>
      <c r="CZ26" s="266"/>
      <c r="DA26" s="266"/>
      <c r="DB26" s="267"/>
    </row>
    <row r="27" spans="2:107" ht="19.5" customHeight="1" thickTop="1">
      <c r="H27" s="6" t="s">
        <v>12</v>
      </c>
    </row>
    <row r="28" spans="2:107" ht="20.100000000000001" customHeight="1" thickBot="1">
      <c r="B28" s="260" t="s">
        <v>8</v>
      </c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 t="s">
        <v>9</v>
      </c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  <c r="AO28" s="260"/>
      <c r="AP28" s="260"/>
      <c r="AQ28" s="260"/>
      <c r="AR28" s="260"/>
      <c r="AS28" s="260"/>
      <c r="AT28" s="260"/>
      <c r="AU28" s="260"/>
      <c r="AV28" s="260"/>
      <c r="AW28" s="260"/>
      <c r="AX28" s="260"/>
      <c r="AY28" s="260"/>
      <c r="AZ28" s="260"/>
      <c r="BA28" s="260"/>
      <c r="BB28" s="260"/>
      <c r="BC28" s="503" t="s">
        <v>10</v>
      </c>
      <c r="BD28" s="503"/>
      <c r="BE28" s="503"/>
      <c r="BF28" s="503"/>
      <c r="BG28" s="503"/>
      <c r="BH28" s="503"/>
      <c r="BI28" s="503"/>
      <c r="BJ28" s="503"/>
      <c r="BK28" s="503"/>
      <c r="BL28" s="503"/>
      <c r="BM28" s="503"/>
      <c r="BN28" s="503"/>
      <c r="BO28" s="503"/>
      <c r="BP28" s="503"/>
      <c r="BQ28" s="503"/>
      <c r="BR28" s="503"/>
      <c r="BS28" s="503"/>
      <c r="BT28" s="503"/>
      <c r="BU28" s="503"/>
      <c r="BV28" s="503"/>
      <c r="BW28" s="503"/>
      <c r="BX28" s="503"/>
      <c r="BY28" s="503" t="s">
        <v>11</v>
      </c>
      <c r="BZ28" s="503"/>
      <c r="CA28" s="503"/>
      <c r="CB28" s="503"/>
      <c r="CC28" s="503"/>
      <c r="CD28" s="503"/>
      <c r="CE28" s="503"/>
      <c r="CF28" s="503"/>
      <c r="CG28" s="503"/>
      <c r="CH28" s="503"/>
      <c r="CI28" s="503"/>
      <c r="CJ28" s="503"/>
      <c r="CK28" s="503"/>
      <c r="CL28" s="503"/>
      <c r="CM28" s="503"/>
      <c r="CN28" s="503"/>
      <c r="CO28" s="503"/>
      <c r="CP28" s="503"/>
      <c r="CQ28" s="503"/>
      <c r="CR28" s="503"/>
      <c r="CS28" s="503"/>
      <c r="CT28" s="503"/>
      <c r="CU28" s="503"/>
      <c r="CV28" s="503"/>
      <c r="CW28" s="503"/>
    </row>
    <row r="29" spans="2:107" ht="20.100000000000001" customHeight="1">
      <c r="B29" s="199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1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13"/>
      <c r="AQ29" s="213"/>
      <c r="AR29" s="213"/>
      <c r="AS29" s="213"/>
      <c r="AT29" s="200"/>
      <c r="AU29" s="200"/>
      <c r="AV29" s="200"/>
      <c r="AW29" s="200"/>
      <c r="AX29" s="200"/>
      <c r="AY29" s="200"/>
      <c r="AZ29" s="200"/>
      <c r="BA29" s="200"/>
      <c r="BB29" s="201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1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202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203"/>
      <c r="Q30" s="213"/>
      <c r="R30" s="213"/>
      <c r="S30" s="213"/>
      <c r="T30" s="213"/>
      <c r="U30" s="213"/>
      <c r="V30" s="213"/>
      <c r="W30" s="213"/>
      <c r="X30" s="213"/>
      <c r="Y30" s="213"/>
      <c r="Z30" s="204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213"/>
      <c r="AQ30" s="213"/>
      <c r="AR30" s="213"/>
      <c r="AS30" s="213"/>
      <c r="AT30" s="213"/>
      <c r="AU30" s="213"/>
      <c r="AV30" s="213"/>
      <c r="AW30" s="213"/>
      <c r="AX30" s="213"/>
      <c r="AY30" s="213"/>
      <c r="AZ30" s="213"/>
      <c r="BA30" s="213"/>
      <c r="BB30" s="204"/>
      <c r="BC30" s="213"/>
      <c r="BD30" s="213"/>
      <c r="BE30" s="213"/>
      <c r="BF30" s="213"/>
      <c r="BG30" s="213"/>
      <c r="BH30" s="213"/>
      <c r="BI30" s="213"/>
      <c r="BJ30" s="213"/>
      <c r="BK30" s="213"/>
      <c r="BL30" s="213"/>
      <c r="BM30" s="213"/>
      <c r="BN30" s="213"/>
      <c r="BO30" s="213"/>
      <c r="BP30" s="213"/>
      <c r="BQ30" s="213"/>
      <c r="BR30" s="213"/>
      <c r="BS30" s="204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202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04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213"/>
      <c r="AQ31" s="213"/>
      <c r="AR31" s="213"/>
      <c r="AS31" s="213"/>
      <c r="AT31" s="213"/>
      <c r="AU31" s="213"/>
      <c r="AV31" s="213"/>
      <c r="AW31" s="213"/>
      <c r="AX31" s="213"/>
      <c r="AY31" s="213"/>
      <c r="AZ31" s="213"/>
      <c r="BA31" s="203"/>
      <c r="BB31" s="204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203"/>
      <c r="BR31" s="213"/>
      <c r="BS31" s="204"/>
      <c r="BT31" s="34"/>
      <c r="BU31" s="35"/>
      <c r="BV31" s="35"/>
      <c r="BW31" s="58"/>
      <c r="BX31" s="58"/>
      <c r="BY31" s="329">
        <v>124</v>
      </c>
      <c r="BZ31" s="329"/>
      <c r="CA31" s="329"/>
      <c r="CB31" s="329"/>
      <c r="CC31" s="35"/>
      <c r="CD31" s="35"/>
      <c r="CE31" s="35"/>
      <c r="CF31" s="35"/>
      <c r="CG31" s="35"/>
      <c r="CH31" s="331">
        <v>25</v>
      </c>
      <c r="CI31" s="331"/>
      <c r="CJ31" s="331"/>
      <c r="CK31" s="331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276">
        <f>DC31</f>
        <v>315</v>
      </c>
      <c r="CZ31" s="277"/>
      <c r="DA31" s="277"/>
      <c r="DB31" s="278"/>
      <c r="DC31" s="28">
        <f t="array" ref="DC31:DC32">TRANSPOSE(TotalUnitsAndWeightsSum(DECK12))</f>
        <v>315</v>
      </c>
    </row>
    <row r="32" spans="2:107" ht="20.100000000000001" customHeight="1" thickTop="1" thickBot="1">
      <c r="B32" s="202"/>
      <c r="C32" s="213"/>
      <c r="D32" s="213"/>
      <c r="E32" s="213"/>
      <c r="F32" s="213"/>
      <c r="G32" s="213"/>
      <c r="H32" s="213"/>
      <c r="I32" s="213"/>
      <c r="J32" s="205" t="s">
        <v>143</v>
      </c>
      <c r="K32" s="198"/>
      <c r="L32" s="213"/>
      <c r="M32" s="213"/>
      <c r="N32" s="213"/>
      <c r="O32" s="213"/>
      <c r="P32" s="213"/>
      <c r="Q32" s="213"/>
      <c r="R32" s="213" t="s">
        <v>12</v>
      </c>
      <c r="S32" s="213"/>
      <c r="T32" s="213"/>
      <c r="U32" s="213"/>
      <c r="V32" s="213"/>
      <c r="W32" s="213"/>
      <c r="X32" s="213"/>
      <c r="Y32" s="213"/>
      <c r="Z32" s="204"/>
      <c r="AA32" s="213"/>
      <c r="AB32" s="213"/>
      <c r="AC32" s="205" t="s">
        <v>143</v>
      </c>
      <c r="AD32" s="198"/>
      <c r="AE32" s="213"/>
      <c r="AF32" s="213"/>
      <c r="AG32" s="213"/>
      <c r="AH32" s="213"/>
      <c r="AI32" s="213"/>
      <c r="AJ32" s="213"/>
      <c r="AK32" s="213"/>
      <c r="AL32" s="206"/>
      <c r="AM32" s="207"/>
      <c r="AN32" s="207"/>
      <c r="AO32" s="207"/>
      <c r="AP32" s="207"/>
      <c r="AQ32" s="207"/>
      <c r="AR32" s="207"/>
      <c r="AS32" s="207"/>
      <c r="AT32" s="207"/>
      <c r="AU32" s="207"/>
      <c r="AV32" s="208"/>
      <c r="AW32" s="213"/>
      <c r="AX32" s="213"/>
      <c r="AY32" s="203"/>
      <c r="AZ32" s="203"/>
      <c r="BA32" s="203"/>
      <c r="BB32" s="204"/>
      <c r="BC32" s="213"/>
      <c r="BD32" s="213"/>
      <c r="BE32" s="213"/>
      <c r="BF32" s="213"/>
      <c r="BG32" s="205" t="s">
        <v>143</v>
      </c>
      <c r="BH32" s="198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204"/>
      <c r="BT32" s="34"/>
      <c r="BU32" s="35"/>
      <c r="BV32" s="35"/>
      <c r="BW32" s="58"/>
      <c r="BX32" s="58"/>
      <c r="BY32" s="329">
        <v>245.09</v>
      </c>
      <c r="BZ32" s="329"/>
      <c r="CA32" s="329"/>
      <c r="CB32" s="329"/>
      <c r="CC32" s="35"/>
      <c r="CD32" s="35"/>
      <c r="CE32" s="35"/>
      <c r="CF32" s="35"/>
      <c r="CG32" s="35"/>
      <c r="CH32" s="331">
        <v>12.3</v>
      </c>
      <c r="CI32" s="331"/>
      <c r="CJ32" s="331"/>
      <c r="CK32" s="331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273">
        <f>DC32</f>
        <v>466.70000000000005</v>
      </c>
      <c r="CZ32" s="274"/>
      <c r="DA32" s="274"/>
      <c r="DB32" s="275"/>
      <c r="DC32" s="28">
        <v>466.70000000000005</v>
      </c>
    </row>
    <row r="33" spans="2:107" ht="20.100000000000001" customHeight="1" thickTop="1">
      <c r="B33" s="202"/>
      <c r="C33" s="213"/>
      <c r="D33" s="213"/>
      <c r="E33" s="213"/>
      <c r="F33" s="213"/>
      <c r="G33" s="213"/>
      <c r="H33" s="213"/>
      <c r="I33" s="213"/>
      <c r="J33" s="224">
        <v>119</v>
      </c>
      <c r="K33" s="225"/>
      <c r="L33" s="225"/>
      <c r="M33" s="225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04"/>
      <c r="AA33" s="213"/>
      <c r="AB33" s="213"/>
      <c r="AC33" s="224">
        <v>121</v>
      </c>
      <c r="AD33" s="225"/>
      <c r="AE33" s="225"/>
      <c r="AF33" s="225"/>
      <c r="AG33" s="213"/>
      <c r="AH33" s="213"/>
      <c r="AI33" s="213"/>
      <c r="AJ33" s="213"/>
      <c r="AK33" s="213"/>
      <c r="AL33" s="209"/>
      <c r="AM33" s="210"/>
      <c r="AN33" s="210"/>
      <c r="AO33" s="210"/>
      <c r="AP33" s="210"/>
      <c r="AQ33" s="210"/>
      <c r="AR33" s="210"/>
      <c r="AS33" s="210"/>
      <c r="AT33" s="210"/>
      <c r="AU33" s="210"/>
      <c r="AV33" s="211"/>
      <c r="AW33" s="213"/>
      <c r="AX33" s="213"/>
      <c r="AY33" s="213"/>
      <c r="AZ33" s="213"/>
      <c r="BA33" s="213"/>
      <c r="BB33" s="204"/>
      <c r="BC33" s="213"/>
      <c r="BD33" s="213"/>
      <c r="BE33" s="213"/>
      <c r="BF33" s="213"/>
      <c r="BG33" s="224">
        <v>75</v>
      </c>
      <c r="BH33" s="225"/>
      <c r="BI33" s="225"/>
      <c r="BJ33" s="225"/>
      <c r="BK33" s="213"/>
      <c r="BL33" s="213"/>
      <c r="BM33" s="213"/>
      <c r="BN33" s="213"/>
      <c r="BO33" s="213"/>
      <c r="BP33" s="213"/>
      <c r="BQ33" s="213"/>
      <c r="BR33" s="213"/>
      <c r="BS33" s="204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202"/>
      <c r="C34" s="213"/>
      <c r="D34" s="213"/>
      <c r="E34" s="213"/>
      <c r="F34" s="213"/>
      <c r="G34" s="213"/>
      <c r="H34" s="213"/>
      <c r="I34" s="213"/>
      <c r="J34" s="226">
        <v>175.5</v>
      </c>
      <c r="K34" s="225"/>
      <c r="L34" s="225"/>
      <c r="M34" s="225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204"/>
      <c r="AA34" s="213"/>
      <c r="AB34" s="213"/>
      <c r="AC34" s="226">
        <v>195.6</v>
      </c>
      <c r="AD34" s="225"/>
      <c r="AE34" s="225"/>
      <c r="AF34" s="225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3"/>
      <c r="AR34" s="213"/>
      <c r="AS34" s="213"/>
      <c r="AT34" s="213"/>
      <c r="AU34" s="213"/>
      <c r="AV34" s="213"/>
      <c r="AW34" s="213"/>
      <c r="AX34" s="213"/>
      <c r="AY34" s="213"/>
      <c r="AZ34" s="213"/>
      <c r="BA34" s="213"/>
      <c r="BB34" s="204"/>
      <c r="BC34" s="213"/>
      <c r="BD34" s="213"/>
      <c r="BE34" s="213"/>
      <c r="BF34" s="213"/>
      <c r="BG34" s="226">
        <v>95.6</v>
      </c>
      <c r="BH34" s="225"/>
      <c r="BI34" s="225"/>
      <c r="BJ34" s="225"/>
      <c r="BK34" s="213"/>
      <c r="BL34" s="213"/>
      <c r="BM34" s="213"/>
      <c r="BN34" s="213"/>
      <c r="BO34" s="213"/>
      <c r="BP34" s="213"/>
      <c r="BQ34" s="213"/>
      <c r="BR34" s="213"/>
      <c r="BS34" s="204"/>
      <c r="BT34" s="34"/>
      <c r="BU34" s="35"/>
      <c r="BV34" s="35"/>
      <c r="BW34" s="35"/>
      <c r="BX34" s="35"/>
      <c r="BY34" s="330">
        <v>45</v>
      </c>
      <c r="BZ34" s="330"/>
      <c r="CA34" s="330"/>
      <c r="CB34" s="330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202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204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AR35" s="213"/>
      <c r="AS35" s="213"/>
      <c r="AT35" s="213"/>
      <c r="AU35" s="213"/>
      <c r="AV35" s="213"/>
      <c r="AW35" s="213"/>
      <c r="AX35" s="213"/>
      <c r="AY35" s="213"/>
      <c r="AZ35" s="213"/>
      <c r="BA35" s="213"/>
      <c r="BB35" s="204"/>
      <c r="BC35" s="213"/>
      <c r="BD35" s="213"/>
      <c r="BE35" s="213"/>
      <c r="BF35" s="213"/>
      <c r="BG35" s="213"/>
      <c r="BH35" s="213"/>
      <c r="BI35" s="213"/>
      <c r="BJ35" s="213"/>
      <c r="BK35" s="213"/>
      <c r="BL35" s="213"/>
      <c r="BM35" s="213"/>
      <c r="BN35" s="213"/>
      <c r="BO35" s="213"/>
      <c r="BP35" s="213"/>
      <c r="BQ35" s="213"/>
      <c r="BR35" s="213"/>
      <c r="BS35" s="204"/>
      <c r="BT35" s="34"/>
      <c r="BU35" s="35"/>
      <c r="BV35" s="35"/>
      <c r="BW35" s="35"/>
      <c r="BX35" s="35"/>
      <c r="BY35" s="330">
        <v>135.30000000000001</v>
      </c>
      <c r="BZ35" s="330"/>
      <c r="CA35" s="330"/>
      <c r="CB35" s="330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202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204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04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04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202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204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AR37" s="213"/>
      <c r="AS37" s="213"/>
      <c r="AT37" s="213"/>
      <c r="AU37" s="213"/>
      <c r="AV37" s="213"/>
      <c r="AW37" s="213"/>
      <c r="AX37" s="213"/>
      <c r="AY37" s="213"/>
      <c r="AZ37" s="213"/>
      <c r="BA37" s="213"/>
      <c r="BB37" s="204"/>
      <c r="BC37" s="213"/>
      <c r="BD37" s="213"/>
      <c r="BE37" s="213"/>
      <c r="BF37" s="213"/>
      <c r="BG37" s="213"/>
      <c r="BH37" s="213"/>
      <c r="BI37" s="213"/>
      <c r="BJ37" s="213"/>
      <c r="BK37" s="213"/>
      <c r="BL37" s="213"/>
      <c r="BM37" s="213"/>
      <c r="BN37" s="213"/>
      <c r="BO37" s="213"/>
      <c r="BP37" s="213"/>
      <c r="BQ37" s="213"/>
      <c r="BR37" s="213"/>
      <c r="BS37" s="204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82"/>
      <c r="C38" s="73"/>
      <c r="D38" s="73"/>
      <c r="E38" s="73"/>
      <c r="F38" s="73"/>
      <c r="G38" s="73"/>
      <c r="H38" s="73"/>
      <c r="I38" s="73"/>
      <c r="J38" s="295"/>
      <c r="K38" s="296"/>
      <c r="L38" s="296"/>
      <c r="M38" s="296"/>
      <c r="N38" s="297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83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75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72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83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75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58"/>
      <c r="BE40" s="58"/>
      <c r="BF40" s="58"/>
      <c r="BG40" s="58"/>
      <c r="BH40" s="58"/>
      <c r="BI40" s="58"/>
      <c r="BJ40" s="58"/>
      <c r="BK40" s="71"/>
      <c r="BL40" s="71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83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276">
        <f>DC40</f>
        <v>0</v>
      </c>
      <c r="CZ40" s="277"/>
      <c r="DA40" s="277"/>
      <c r="DB40" s="278"/>
      <c r="DC40" s="28">
        <f t="array" ref="DC40:DC41">TRANSPOSE(TotalUnitsAndWeightsSum(DECK11))</f>
        <v>0</v>
      </c>
    </row>
    <row r="41" spans="2:107" ht="20.100000000000001" customHeight="1" thickTop="1" thickBot="1">
      <c r="B41" s="83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71"/>
      <c r="N41" s="71"/>
      <c r="O41" s="71"/>
      <c r="P41" s="71"/>
      <c r="Q41" s="58"/>
      <c r="R41" s="58"/>
      <c r="S41" s="58"/>
      <c r="T41" s="58"/>
      <c r="U41" s="58"/>
      <c r="V41" s="58"/>
      <c r="W41" s="58"/>
      <c r="X41" s="58"/>
      <c r="Y41" s="58"/>
      <c r="Z41" s="75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83"/>
      <c r="BZ41" s="58"/>
      <c r="CA41" s="58"/>
      <c r="CB41" s="58"/>
      <c r="CC41" s="58"/>
      <c r="CD41" s="58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273">
        <f>DC41</f>
        <v>0</v>
      </c>
      <c r="CZ41" s="274"/>
      <c r="DA41" s="274"/>
      <c r="DB41" s="275"/>
      <c r="DC41" s="28">
        <v>0</v>
      </c>
    </row>
    <row r="42" spans="2:107" ht="20.100000000000001" customHeight="1" thickTop="1">
      <c r="B42" s="83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71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75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83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75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72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83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71"/>
      <c r="Y44" s="58"/>
      <c r="Z44" s="75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83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71"/>
      <c r="V45" s="71"/>
      <c r="W45" s="71"/>
      <c r="X45" s="71"/>
      <c r="Y45" s="58"/>
      <c r="Z45" s="75"/>
      <c r="AA45" s="58"/>
      <c r="AB45" s="58"/>
      <c r="AC45" s="58"/>
      <c r="AD45" s="58"/>
      <c r="AE45" s="58"/>
      <c r="AF45" s="58"/>
      <c r="AG45" s="71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83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75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298"/>
      <c r="K47" s="299"/>
      <c r="L47" s="299"/>
      <c r="M47" s="299"/>
      <c r="N47" s="300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35"/>
      <c r="CB49" s="35"/>
      <c r="CC49" s="35"/>
      <c r="CD49" s="58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276">
        <f>DC49</f>
        <v>0</v>
      </c>
      <c r="CZ49" s="277"/>
      <c r="DA49" s="277"/>
      <c r="DB49" s="278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35"/>
      <c r="CB50" s="35"/>
      <c r="CC50" s="35"/>
      <c r="CD50" s="37"/>
      <c r="CE50" s="37"/>
      <c r="CF50" s="37"/>
      <c r="CG50" s="227"/>
      <c r="CH50" s="228"/>
      <c r="CI50" s="228"/>
      <c r="CJ50" s="228"/>
      <c r="CK50" s="228"/>
      <c r="CL50" s="228"/>
      <c r="CM50" s="228"/>
      <c r="CN50" s="228"/>
      <c r="CO50" s="228"/>
      <c r="CP50" s="228"/>
      <c r="CQ50" s="228"/>
      <c r="CR50" s="229"/>
      <c r="CS50" s="35"/>
      <c r="CT50" s="35"/>
      <c r="CU50" s="35"/>
      <c r="CV50" s="35"/>
      <c r="CW50" s="36"/>
      <c r="CY50" s="273">
        <f>DC50</f>
        <v>0</v>
      </c>
      <c r="CZ50" s="274"/>
      <c r="DA50" s="274"/>
      <c r="DB50" s="275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233"/>
      <c r="CH51" s="234"/>
      <c r="CI51" s="234"/>
      <c r="CJ51" s="234"/>
      <c r="CK51" s="234"/>
      <c r="CL51" s="234"/>
      <c r="CM51" s="234"/>
      <c r="CN51" s="234"/>
      <c r="CO51" s="234"/>
      <c r="CP51" s="234"/>
      <c r="CQ51" s="234"/>
      <c r="CR51" s="235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295"/>
      <c r="K56" s="296"/>
      <c r="L56" s="296"/>
      <c r="M56" s="296"/>
      <c r="N56" s="297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276">
        <f>DC58</f>
        <v>0</v>
      </c>
      <c r="CZ58" s="277"/>
      <c r="DA58" s="277"/>
      <c r="DB58" s="278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227"/>
      <c r="AM59" s="228"/>
      <c r="AN59" s="228"/>
      <c r="AO59" s="228"/>
      <c r="AP59" s="228"/>
      <c r="AQ59" s="228"/>
      <c r="AR59" s="228"/>
      <c r="AS59" s="228"/>
      <c r="AT59" s="228"/>
      <c r="AU59" s="228"/>
      <c r="AV59" s="229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273">
        <f>DC59</f>
        <v>0</v>
      </c>
      <c r="CZ59" s="274"/>
      <c r="DA59" s="274"/>
      <c r="DB59" s="275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233"/>
      <c r="AM60" s="234"/>
      <c r="AN60" s="234"/>
      <c r="AO60" s="234"/>
      <c r="AP60" s="234"/>
      <c r="AQ60" s="234"/>
      <c r="AR60" s="234"/>
      <c r="AS60" s="234"/>
      <c r="AT60" s="234"/>
      <c r="AU60" s="234"/>
      <c r="AV60" s="235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295"/>
      <c r="K65" s="296"/>
      <c r="L65" s="296"/>
      <c r="M65" s="296"/>
      <c r="N65" s="297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325" t="s">
        <v>41</v>
      </c>
      <c r="CZ65" s="326"/>
      <c r="DA65" s="326"/>
      <c r="DB65" s="326"/>
      <c r="DC65" s="332" t="s">
        <v>42</v>
      </c>
      <c r="DD65" s="332"/>
      <c r="DE65" s="333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293"/>
      <c r="AO68" s="293"/>
      <c r="AP68" s="293"/>
      <c r="AQ68" s="293"/>
      <c r="AR68" s="293"/>
      <c r="AS68" s="293"/>
      <c r="AT68" s="293"/>
      <c r="AU68" s="293"/>
      <c r="AV68" s="294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327"/>
      <c r="BZ68" s="228"/>
      <c r="CA68" s="228"/>
      <c r="CB68" s="228"/>
      <c r="CC68" s="228"/>
      <c r="CD68" s="228"/>
      <c r="CE68" s="228"/>
      <c r="CF68" s="228"/>
      <c r="CG68" s="228"/>
      <c r="CH68" s="228"/>
      <c r="CI68" s="228"/>
      <c r="CJ68" s="229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328"/>
      <c r="BZ69" s="234"/>
      <c r="CA69" s="234"/>
      <c r="CB69" s="234"/>
      <c r="CC69" s="234"/>
      <c r="CD69" s="234"/>
      <c r="CE69" s="234"/>
      <c r="CF69" s="234"/>
      <c r="CG69" s="234"/>
      <c r="CH69" s="234"/>
      <c r="CI69" s="234"/>
      <c r="CJ69" s="2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276">
        <f>DC69</f>
        <v>0</v>
      </c>
      <c r="CZ69" s="277"/>
      <c r="DA69" s="277"/>
      <c r="DB69" s="278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73">
        <f>DC70</f>
        <v>0</v>
      </c>
      <c r="CZ70" s="274"/>
      <c r="DA70" s="274"/>
      <c r="DB70" s="275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447"/>
      <c r="H74" s="296"/>
      <c r="I74" s="297"/>
      <c r="J74" s="295"/>
      <c r="K74" s="296"/>
      <c r="L74" s="296"/>
      <c r="M74" s="296"/>
      <c r="N74" s="297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227" t="s">
        <v>12</v>
      </c>
      <c r="AG76" s="228"/>
      <c r="AH76" s="228"/>
      <c r="AI76" s="228"/>
      <c r="AJ76" s="228"/>
      <c r="AK76" s="228"/>
      <c r="AL76" s="228"/>
      <c r="AM76" s="228"/>
      <c r="AN76" s="229"/>
      <c r="AO76" s="293"/>
      <c r="AP76" s="293"/>
      <c r="AQ76" s="293"/>
      <c r="AR76" s="293"/>
      <c r="AS76" s="293"/>
      <c r="AT76" s="293"/>
      <c r="AU76" s="293"/>
      <c r="AV76" s="294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233"/>
      <c r="AG77" s="234"/>
      <c r="AH77" s="234"/>
      <c r="AI77" s="234"/>
      <c r="AJ77" s="234"/>
      <c r="AK77" s="234"/>
      <c r="AL77" s="234"/>
      <c r="AM77" s="234"/>
      <c r="AN77" s="235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227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327"/>
      <c r="BZ77" s="228"/>
      <c r="CA77" s="229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233"/>
      <c r="BI78" s="234"/>
      <c r="BJ78" s="234"/>
      <c r="BK78" s="234"/>
      <c r="BL78" s="234"/>
      <c r="BM78" s="234"/>
      <c r="BN78" s="234"/>
      <c r="BO78" s="234"/>
      <c r="BP78" s="234"/>
      <c r="BQ78" s="234"/>
      <c r="BR78" s="234"/>
      <c r="BS78" s="234"/>
      <c r="BT78" s="234"/>
      <c r="BU78" s="234"/>
      <c r="BV78" s="234"/>
      <c r="BW78" s="234"/>
      <c r="BX78" s="234"/>
      <c r="BY78" s="328"/>
      <c r="BZ78" s="234"/>
      <c r="CA78" s="2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276">
        <f>DC78</f>
        <v>0</v>
      </c>
      <c r="CZ78" s="277"/>
      <c r="DA78" s="277"/>
      <c r="DB78" s="278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273">
        <f>DC79</f>
        <v>0</v>
      </c>
      <c r="CZ79" s="274"/>
      <c r="DA79" s="274"/>
      <c r="DB79" s="275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295"/>
      <c r="K83" s="296"/>
      <c r="L83" s="296"/>
      <c r="M83" s="296"/>
      <c r="N83" s="297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334" t="s">
        <v>44</v>
      </c>
      <c r="CZ83" s="335"/>
      <c r="DA83" s="335"/>
      <c r="DB83" s="335"/>
      <c r="DC83" s="323" t="s">
        <v>42</v>
      </c>
      <c r="DD83" s="323"/>
      <c r="DE83" s="324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292"/>
      <c r="AP87" s="293"/>
      <c r="AQ87" s="293"/>
      <c r="AR87" s="293"/>
      <c r="AS87" s="293"/>
      <c r="AT87" s="293"/>
      <c r="AU87" s="293"/>
      <c r="AV87" s="294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276">
        <f>DC87</f>
        <v>0</v>
      </c>
      <c r="CZ87" s="277"/>
      <c r="DA87" s="277"/>
      <c r="DB87" s="278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273">
        <f>DC88</f>
        <v>0</v>
      </c>
      <c r="CZ88" s="274"/>
      <c r="DA88" s="274"/>
      <c r="DB88" s="275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485"/>
      <c r="K92" s="486"/>
      <c r="L92" s="486"/>
      <c r="M92" s="486"/>
      <c r="N92" s="486"/>
      <c r="O92" s="486"/>
      <c r="P92" s="487"/>
      <c r="Q92" s="32"/>
      <c r="R92" s="32"/>
      <c r="S92" s="32"/>
      <c r="T92" s="295"/>
      <c r="U92" s="296"/>
      <c r="V92" s="296"/>
      <c r="W92" s="296"/>
      <c r="X92" s="296"/>
      <c r="Y92" s="296"/>
      <c r="Z92" s="474"/>
      <c r="AA92" s="447"/>
      <c r="AB92" s="296"/>
      <c r="AC92" s="296"/>
      <c r="AD92" s="296"/>
      <c r="AE92" s="296"/>
      <c r="AF92" s="296"/>
      <c r="AG92" s="296"/>
      <c r="AH92" s="296"/>
      <c r="AI92" s="296"/>
      <c r="AJ92" s="296"/>
      <c r="AK92" s="297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135"/>
      <c r="D93" s="135"/>
      <c r="E93" s="135"/>
      <c r="F93" s="135"/>
      <c r="G93" s="135"/>
      <c r="H93" s="135"/>
      <c r="I93" s="135"/>
      <c r="J93" s="233"/>
      <c r="K93" s="234"/>
      <c r="L93" s="234"/>
      <c r="M93" s="234"/>
      <c r="N93" s="234"/>
      <c r="O93" s="234"/>
      <c r="P93" s="235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227"/>
      <c r="AD95" s="228"/>
      <c r="AE95" s="228"/>
      <c r="AF95" s="228"/>
      <c r="AG95" s="228"/>
      <c r="AH95" s="228"/>
      <c r="AI95" s="229"/>
      <c r="AJ95" s="215"/>
      <c r="AK95" s="216"/>
      <c r="AL95" s="216"/>
      <c r="AM95" s="216"/>
      <c r="AN95" s="216"/>
      <c r="AO95" s="217"/>
      <c r="AP95" s="217"/>
      <c r="AQ95" s="217"/>
      <c r="AR95" s="217"/>
      <c r="AS95" s="217"/>
      <c r="AT95" s="218"/>
      <c r="AU95" s="35"/>
      <c r="AV95" s="35"/>
      <c r="AW95" s="35"/>
      <c r="AX95" s="35"/>
      <c r="AY95" s="35"/>
      <c r="AZ95" s="35"/>
      <c r="BA95" s="35"/>
      <c r="BB95" s="36"/>
      <c r="BC95" s="35"/>
      <c r="BD95" s="35"/>
      <c r="BE95" s="35"/>
      <c r="BF95" s="35"/>
      <c r="BG95" s="35"/>
      <c r="BH95" s="227"/>
      <c r="BI95" s="228"/>
      <c r="BJ95" s="228"/>
      <c r="BK95" s="228"/>
      <c r="BL95" s="228"/>
      <c r="BM95" s="228"/>
      <c r="BN95" s="229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230"/>
      <c r="AD96" s="231"/>
      <c r="AE96" s="231"/>
      <c r="AF96" s="231"/>
      <c r="AG96" s="231"/>
      <c r="AH96" s="231"/>
      <c r="AI96" s="232"/>
      <c r="AJ96" s="214"/>
      <c r="AK96" s="44"/>
      <c r="AL96" s="44"/>
      <c r="AM96" s="44"/>
      <c r="AN96" s="44"/>
      <c r="AO96" s="35"/>
      <c r="AP96" s="35"/>
      <c r="AQ96" s="35"/>
      <c r="AR96" s="35"/>
      <c r="AS96" s="35"/>
      <c r="AT96" s="219"/>
      <c r="AU96" s="35"/>
      <c r="AV96" s="35"/>
      <c r="AW96" s="35"/>
      <c r="AX96" s="35"/>
      <c r="AY96" s="35"/>
      <c r="AZ96" s="35"/>
      <c r="BA96" s="35"/>
      <c r="BB96" s="36"/>
      <c r="BC96" s="35"/>
      <c r="BD96" s="35"/>
      <c r="BE96" s="35"/>
      <c r="BF96" s="35"/>
      <c r="BG96" s="35"/>
      <c r="BH96" s="230"/>
      <c r="BI96" s="231"/>
      <c r="BJ96" s="231"/>
      <c r="BK96" s="231"/>
      <c r="BL96" s="231"/>
      <c r="BM96" s="231"/>
      <c r="BN96" s="232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276">
        <f>DC96</f>
        <v>0</v>
      </c>
      <c r="CZ96" s="277"/>
      <c r="DA96" s="277"/>
      <c r="DB96" s="278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233"/>
      <c r="AD97" s="234"/>
      <c r="AE97" s="234"/>
      <c r="AF97" s="234"/>
      <c r="AG97" s="234"/>
      <c r="AH97" s="234"/>
      <c r="AI97" s="235"/>
      <c r="AJ97" s="220"/>
      <c r="AK97" s="221"/>
      <c r="AL97" s="221"/>
      <c r="AM97" s="221"/>
      <c r="AN97" s="221"/>
      <c r="AO97" s="222"/>
      <c r="AP97" s="222"/>
      <c r="AQ97" s="222"/>
      <c r="AR97" s="222"/>
      <c r="AS97" s="222"/>
      <c r="AT97" s="223"/>
      <c r="AU97" s="35"/>
      <c r="AV97" s="35"/>
      <c r="AW97" s="35"/>
      <c r="AX97" s="35"/>
      <c r="AY97" s="35"/>
      <c r="AZ97" s="35"/>
      <c r="BA97" s="35"/>
      <c r="BB97" s="36"/>
      <c r="BC97" s="35"/>
      <c r="BD97" s="35"/>
      <c r="BE97" s="35"/>
      <c r="BF97" s="35"/>
      <c r="BG97" s="35"/>
      <c r="BH97" s="233"/>
      <c r="BI97" s="234"/>
      <c r="BJ97" s="234"/>
      <c r="BK97" s="234"/>
      <c r="BL97" s="234"/>
      <c r="BM97" s="234"/>
      <c r="BN97" s="2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273">
        <f>DC97</f>
        <v>0</v>
      </c>
      <c r="CZ97" s="274"/>
      <c r="DA97" s="274"/>
      <c r="DB97" s="275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51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227"/>
      <c r="Z102" s="476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71"/>
      <c r="W103" s="472"/>
      <c r="X103" s="473"/>
      <c r="Y103" s="477"/>
      <c r="Z103" s="478"/>
      <c r="AA103" s="475"/>
      <c r="AB103" s="472"/>
      <c r="AC103" s="472"/>
      <c r="AD103" s="472"/>
      <c r="AE103" s="472"/>
      <c r="AF103" s="472"/>
      <c r="AG103" s="472"/>
      <c r="AH103" s="472"/>
      <c r="AI103" s="473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276">
        <f>DC106</f>
        <v>0</v>
      </c>
      <c r="CZ106" s="277"/>
      <c r="DA106" s="277"/>
      <c r="DB106" s="278"/>
      <c r="DC106" s="28">
        <f t="array" ref="DC106:DC107">TRANSPOSE(TotalUnitsAndWeightsSum(DECK4))</f>
        <v>0</v>
      </c>
    </row>
    <row r="107" spans="2:107" ht="20.100000000000001" customHeight="1" thickTop="1" thickBot="1">
      <c r="AA107" s="34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273">
        <f>DC107</f>
        <v>0</v>
      </c>
      <c r="CZ107" s="274"/>
      <c r="DA107" s="274"/>
      <c r="DB107" s="275"/>
      <c r="DC107" s="28">
        <v>0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227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9"/>
      <c r="AS108" s="35"/>
      <c r="AT108" s="35"/>
      <c r="AU108" s="35"/>
      <c r="AV108" s="35"/>
      <c r="AW108" s="35"/>
      <c r="AX108" s="35"/>
      <c r="AY108" s="35"/>
      <c r="AZ108" s="35"/>
      <c r="BA108" s="35"/>
      <c r="BB108" s="36"/>
      <c r="BC108" s="35"/>
      <c r="BD108" s="35"/>
      <c r="BE108" s="35"/>
      <c r="BF108" s="35"/>
      <c r="BG108" s="35"/>
      <c r="BH108" s="35"/>
      <c r="BI108" s="227"/>
      <c r="BJ108" s="228"/>
      <c r="BK108" s="228"/>
      <c r="BL108" s="228"/>
      <c r="BM108" s="228"/>
      <c r="BN108" s="228"/>
      <c r="BO108" s="228"/>
      <c r="BP108" s="228"/>
      <c r="BQ108" s="228"/>
      <c r="BR108" s="228"/>
      <c r="BS108" s="229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233"/>
      <c r="AI109" s="234"/>
      <c r="AJ109" s="234"/>
      <c r="AK109" s="234"/>
      <c r="AL109" s="234"/>
      <c r="AM109" s="234"/>
      <c r="AN109" s="234"/>
      <c r="AO109" s="234"/>
      <c r="AP109" s="234"/>
      <c r="AQ109" s="234"/>
      <c r="AR109" s="2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233"/>
      <c r="BJ109" s="234"/>
      <c r="BK109" s="234"/>
      <c r="BL109" s="234"/>
      <c r="BM109" s="234"/>
      <c r="BN109" s="234"/>
      <c r="BO109" s="234"/>
      <c r="BP109" s="234"/>
      <c r="BQ109" s="234"/>
      <c r="BR109" s="234"/>
      <c r="BS109" s="235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276">
        <f>DC115</f>
        <v>0</v>
      </c>
      <c r="CZ115" s="277"/>
      <c r="DA115" s="277"/>
      <c r="DB115" s="278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273">
        <f>DC116</f>
        <v>0</v>
      </c>
      <c r="CZ116" s="274"/>
      <c r="DA116" s="274"/>
      <c r="DB116" s="275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276">
        <f>DC124</f>
        <v>0</v>
      </c>
      <c r="CZ124" s="277"/>
      <c r="DA124" s="277"/>
      <c r="DB124" s="278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273">
        <f>DC125</f>
        <v>0</v>
      </c>
      <c r="CZ125" s="274"/>
      <c r="DA125" s="274"/>
      <c r="DB125" s="275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276">
        <f>DC133</f>
        <v>0</v>
      </c>
      <c r="CZ133" s="277"/>
      <c r="DA133" s="277"/>
      <c r="DB133" s="278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273">
        <f>DC134</f>
        <v>0</v>
      </c>
      <c r="CZ134" s="274"/>
      <c r="DA134" s="274"/>
      <c r="DB134" s="275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516" t="s">
        <v>55</v>
      </c>
      <c r="CU139" s="517"/>
      <c r="CV139" s="517"/>
      <c r="CW139" s="517"/>
      <c r="CX139" s="517"/>
      <c r="CY139" s="517"/>
      <c r="CZ139" s="517"/>
      <c r="DA139" s="517"/>
      <c r="DB139" s="518"/>
    </row>
    <row r="140" spans="5:107" ht="20.100000000000001" customHeight="1" thickTop="1" thickBot="1">
      <c r="CR140" s="2"/>
      <c r="CT140" s="507">
        <f>SUM(K142,AM142,BL142,CG142)</f>
        <v>315</v>
      </c>
      <c r="CU140" s="508"/>
      <c r="CV140" s="508"/>
      <c r="CW140" s="508"/>
      <c r="CX140" s="508"/>
      <c r="CY140" s="508"/>
      <c r="CZ140" s="508"/>
      <c r="DA140" s="508"/>
      <c r="DB140" s="509"/>
    </row>
    <row r="141" spans="5:107" ht="20.100000000000001" customHeight="1" thickTop="1" thickBot="1">
      <c r="K141" s="479" t="s">
        <v>36</v>
      </c>
      <c r="L141" s="480"/>
      <c r="M141" s="480"/>
      <c r="N141" s="480"/>
      <c r="O141" s="481"/>
      <c r="AM141" s="479" t="s">
        <v>53</v>
      </c>
      <c r="AN141" s="480"/>
      <c r="AO141" s="480"/>
      <c r="AP141" s="480"/>
      <c r="AQ141" s="481"/>
      <c r="BL141" s="479" t="s">
        <v>39</v>
      </c>
      <c r="BM141" s="480"/>
      <c r="BN141" s="480"/>
      <c r="BO141" s="480"/>
      <c r="BP141" s="481"/>
      <c r="CG141" s="479" t="s">
        <v>54</v>
      </c>
      <c r="CH141" s="480"/>
      <c r="CI141" s="480"/>
      <c r="CJ141" s="480"/>
      <c r="CK141" s="481"/>
      <c r="CR141" s="4"/>
      <c r="CT141" s="510">
        <f>SUM(K143,AM143,BL143,CG143)</f>
        <v>466.70000000000005</v>
      </c>
      <c r="CU141" s="511"/>
      <c r="CV141" s="511"/>
      <c r="CW141" s="511"/>
      <c r="CX141" s="511"/>
      <c r="CY141" s="511"/>
      <c r="CZ141" s="511"/>
      <c r="DA141" s="511"/>
      <c r="DB141" s="512"/>
    </row>
    <row r="142" spans="5:107" ht="20.100000000000001" customHeight="1" thickTop="1" thickBot="1">
      <c r="K142" s="482">
        <f>P142</f>
        <v>119</v>
      </c>
      <c r="L142" s="483"/>
      <c r="M142" s="483"/>
      <c r="N142" s="483"/>
      <c r="O142" s="484"/>
      <c r="P142" s="28">
        <f t="array" ref="P142:P143">TRANSPOSE(TotalUnitsAndWeightsSum(HOLD4))</f>
        <v>119</v>
      </c>
      <c r="AM142" s="482">
        <f>AR142</f>
        <v>121</v>
      </c>
      <c r="AN142" s="483"/>
      <c r="AO142" s="483"/>
      <c r="AP142" s="483"/>
      <c r="AQ142" s="484"/>
      <c r="AR142" s="28">
        <f t="array" ref="AR142:AR143">TRANSPOSE(TotalUnitsAndWeightsSum(HOLD3))</f>
        <v>121</v>
      </c>
      <c r="BL142" s="482">
        <f>BQ142</f>
        <v>75</v>
      </c>
      <c r="BM142" s="483"/>
      <c r="BN142" s="483"/>
      <c r="BO142" s="483"/>
      <c r="BP142" s="484"/>
      <c r="BQ142" s="28">
        <f t="array" ref="BQ142:BQ143">TRANSPOSE(TotalUnitsAndWeightsSum(HOLD2))</f>
        <v>75</v>
      </c>
      <c r="CG142" s="482">
        <f>CL142</f>
        <v>0</v>
      </c>
      <c r="CH142" s="483"/>
      <c r="CI142" s="483"/>
      <c r="CJ142" s="483"/>
      <c r="CK142" s="484"/>
      <c r="CL142" s="28">
        <f t="array" ref="CL142:CL143">TRANSPOSE(TotalUnitsAndWeightsSum(HOLD1))</f>
        <v>0</v>
      </c>
      <c r="CR142" s="5"/>
      <c r="CT142" s="513">
        <f>CS26</f>
        <v>20</v>
      </c>
      <c r="CU142" s="514"/>
      <c r="CV142" s="514"/>
      <c r="CW142" s="514"/>
      <c r="CX142" s="514"/>
      <c r="CY142" s="514"/>
      <c r="CZ142" s="514"/>
      <c r="DA142" s="514"/>
      <c r="DB142" s="515"/>
    </row>
    <row r="143" spans="5:107" ht="20.100000000000001" customHeight="1" thickTop="1" thickBot="1">
      <c r="E143" s="29"/>
      <c r="F143" s="29"/>
      <c r="G143" s="30"/>
      <c r="H143" s="29"/>
      <c r="K143" s="468">
        <f>P143</f>
        <v>175.5</v>
      </c>
      <c r="L143" s="469"/>
      <c r="M143" s="469"/>
      <c r="N143" s="469"/>
      <c r="O143" s="470"/>
      <c r="P143" s="28">
        <v>175.5</v>
      </c>
      <c r="V143" s="29"/>
      <c r="W143" s="29"/>
      <c r="X143" s="29"/>
      <c r="Y143" s="29"/>
      <c r="AM143" s="468">
        <f>AR143</f>
        <v>195.6</v>
      </c>
      <c r="AN143" s="469"/>
      <c r="AO143" s="469"/>
      <c r="AP143" s="469"/>
      <c r="AQ143" s="470"/>
      <c r="AR143" s="28">
        <v>195.6</v>
      </c>
      <c r="BL143" s="468">
        <f>BQ143</f>
        <v>95.6</v>
      </c>
      <c r="BM143" s="469"/>
      <c r="BN143" s="469"/>
      <c r="BO143" s="469"/>
      <c r="BP143" s="470"/>
      <c r="BQ143" s="28">
        <v>95.6</v>
      </c>
      <c r="CG143" s="468">
        <f>CL143</f>
        <v>0</v>
      </c>
      <c r="CH143" s="469"/>
      <c r="CI143" s="469"/>
      <c r="CJ143" s="469"/>
      <c r="CK143" s="470"/>
      <c r="CL143" s="28">
        <v>0</v>
      </c>
      <c r="CR143" s="5"/>
      <c r="CT143" s="510">
        <f>CX26</f>
        <v>51.3</v>
      </c>
      <c r="CU143" s="511"/>
      <c r="CV143" s="511"/>
      <c r="CW143" s="511"/>
      <c r="CX143" s="511"/>
      <c r="CY143" s="511"/>
      <c r="CZ143" s="511"/>
      <c r="DA143" s="511"/>
      <c r="DB143" s="512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mergeCells count="512">
    <mergeCell ref="CX19:DB19"/>
    <mergeCell ref="CX17:DB17"/>
    <mergeCell ref="BT9:BX9"/>
    <mergeCell ref="CX9:DB9"/>
    <mergeCell ref="CX12:DB12"/>
    <mergeCell ref="BY12:CC12"/>
    <mergeCell ref="CX11:DB11"/>
    <mergeCell ref="CN9:CR9"/>
    <mergeCell ref="CN12:CR12"/>
    <mergeCell ref="CI14:CM14"/>
    <mergeCell ref="CN14:CR14"/>
    <mergeCell ref="CX13:DB13"/>
    <mergeCell ref="CS9:CW9"/>
    <mergeCell ref="BT16:BX16"/>
    <mergeCell ref="BY13:CC13"/>
    <mergeCell ref="CD10:CH10"/>
    <mergeCell ref="CD13:CH13"/>
    <mergeCell ref="CD11:CH11"/>
    <mergeCell ref="CX14:DB14"/>
    <mergeCell ref="CS19:CW19"/>
    <mergeCell ref="BT14:BX14"/>
    <mergeCell ref="BO19:BS19"/>
    <mergeCell ref="BY17:CC17"/>
    <mergeCell ref="BT18:BX18"/>
    <mergeCell ref="BY19:CC19"/>
    <mergeCell ref="AU5:BD6"/>
    <mergeCell ref="AH108:AR109"/>
    <mergeCell ref="CX23:DB23"/>
    <mergeCell ref="CI23:CM23"/>
    <mergeCell ref="CN23:CR23"/>
    <mergeCell ref="CS20:CW20"/>
    <mergeCell ref="CX20:DB20"/>
    <mergeCell ref="CX15:DB15"/>
    <mergeCell ref="CX21:DB21"/>
    <mergeCell ref="CD17:CH17"/>
    <mergeCell ref="CI15:CM15"/>
    <mergeCell ref="CN15:CR15"/>
    <mergeCell ref="CS17:CW17"/>
    <mergeCell ref="CI17:CM17"/>
    <mergeCell ref="CN17:CR17"/>
    <mergeCell ref="CX18:DB18"/>
    <mergeCell ref="BO16:BS16"/>
    <mergeCell ref="BO20:BS20"/>
    <mergeCell ref="BY21:CC21"/>
    <mergeCell ref="AU16:AY16"/>
    <mergeCell ref="BJ10:BN10"/>
    <mergeCell ref="BO10:BS10"/>
    <mergeCell ref="AZ18:BD18"/>
    <mergeCell ref="BE18:BI18"/>
    <mergeCell ref="AZ17:BD17"/>
    <mergeCell ref="AZ19:BD19"/>
    <mergeCell ref="BJ19:BN19"/>
    <mergeCell ref="BO9:BS9"/>
    <mergeCell ref="BJ18:BN18"/>
    <mergeCell ref="BO18:BS18"/>
    <mergeCell ref="BO15:BS15"/>
    <mergeCell ref="AZ15:BD15"/>
    <mergeCell ref="BO14:BS14"/>
    <mergeCell ref="BO13:BS13"/>
    <mergeCell ref="BY14:CC14"/>
    <mergeCell ref="AU20:AY20"/>
    <mergeCell ref="CD3:CF3"/>
    <mergeCell ref="CI10:CM10"/>
    <mergeCell ref="CN10:CR10"/>
    <mergeCell ref="CS14:CW14"/>
    <mergeCell ref="CS16:CW16"/>
    <mergeCell ref="CN7:CR7"/>
    <mergeCell ref="CS7:CW7"/>
    <mergeCell ref="BY16:CC16"/>
    <mergeCell ref="CS11:CW11"/>
    <mergeCell ref="CN13:CR13"/>
    <mergeCell ref="BY15:CC15"/>
    <mergeCell ref="CD14:CH14"/>
    <mergeCell ref="CI13:CM13"/>
    <mergeCell ref="CS13:CW13"/>
    <mergeCell ref="CS10:CW10"/>
    <mergeCell ref="CD9:CH9"/>
    <mergeCell ref="BY10:CC10"/>
    <mergeCell ref="AU11:AY11"/>
    <mergeCell ref="AU17:AY17"/>
    <mergeCell ref="AU19:AY19"/>
    <mergeCell ref="AU10:AY10"/>
    <mergeCell ref="AU15:AY15"/>
    <mergeCell ref="AU7:AY7"/>
    <mergeCell ref="AZ7:BD7"/>
    <mergeCell ref="BU3:CC3"/>
    <mergeCell ref="BT12:BX12"/>
    <mergeCell ref="AZ13:BD13"/>
    <mergeCell ref="AZ11:BD11"/>
    <mergeCell ref="CG3:CM3"/>
    <mergeCell ref="CI7:CM7"/>
    <mergeCell ref="CD7:CH7"/>
    <mergeCell ref="AZ10:BD10"/>
    <mergeCell ref="CD12:CH12"/>
    <mergeCell ref="AL2:BM3"/>
    <mergeCell ref="BE7:BI7"/>
    <mergeCell ref="BJ7:BN7"/>
    <mergeCell ref="BJ11:BN11"/>
    <mergeCell ref="AR9:AT9"/>
    <mergeCell ref="Q5:AT6"/>
    <mergeCell ref="Q7:S7"/>
    <mergeCell ref="T7:V7"/>
    <mergeCell ref="BU2:BY2"/>
    <mergeCell ref="CI11:CM11"/>
    <mergeCell ref="CT143:DB143"/>
    <mergeCell ref="CT139:DB139"/>
    <mergeCell ref="CI18:CM18"/>
    <mergeCell ref="CD15:CH15"/>
    <mergeCell ref="CD16:CH16"/>
    <mergeCell ref="CY31:DB31"/>
    <mergeCell ref="CI20:CM20"/>
    <mergeCell ref="CN20:CR20"/>
    <mergeCell ref="CD19:CH19"/>
    <mergeCell ref="CI16:CM16"/>
    <mergeCell ref="CN16:CR16"/>
    <mergeCell ref="CY41:DB41"/>
    <mergeCell ref="CG50:CR51"/>
    <mergeCell ref="CS26:CW26"/>
    <mergeCell ref="CD20:CH20"/>
    <mergeCell ref="CN18:CR18"/>
    <mergeCell ref="CI21:CM21"/>
    <mergeCell ref="CN21:CR21"/>
    <mergeCell ref="CS15:CW15"/>
    <mergeCell ref="CS21:CW21"/>
    <mergeCell ref="CI19:CM19"/>
    <mergeCell ref="CN19:CR19"/>
    <mergeCell ref="CS18:CW18"/>
    <mergeCell ref="CX16:DB16"/>
    <mergeCell ref="CD18:CH18"/>
    <mergeCell ref="BE17:BI17"/>
    <mergeCell ref="BY18:CC18"/>
    <mergeCell ref="BO17:BS17"/>
    <mergeCell ref="BT15:BX15"/>
    <mergeCell ref="CH32:CK32"/>
    <mergeCell ref="CI25:DB25"/>
    <mergeCell ref="CX22:DB22"/>
    <mergeCell ref="BT22:BX22"/>
    <mergeCell ref="BT23:BX23"/>
    <mergeCell ref="CI22:CM22"/>
    <mergeCell ref="CN22:CR22"/>
    <mergeCell ref="CS23:CW23"/>
    <mergeCell ref="CX26:DB26"/>
    <mergeCell ref="BY25:CC25"/>
    <mergeCell ref="BC28:BX28"/>
    <mergeCell ref="BY28:CW28"/>
    <mergeCell ref="CS22:CW22"/>
    <mergeCell ref="CI26:CM26"/>
    <mergeCell ref="CN26:CR26"/>
    <mergeCell ref="BJ20:BN20"/>
    <mergeCell ref="BT17:BX17"/>
    <mergeCell ref="BY20:CC20"/>
    <mergeCell ref="BT19:BX19"/>
    <mergeCell ref="BJ14:BN14"/>
    <mergeCell ref="CY125:DB125"/>
    <mergeCell ref="CY133:DB133"/>
    <mergeCell ref="CY134:DB134"/>
    <mergeCell ref="CY78:DB78"/>
    <mergeCell ref="K141:O141"/>
    <mergeCell ref="K142:O142"/>
    <mergeCell ref="J74:N74"/>
    <mergeCell ref="AZ21:BD21"/>
    <mergeCell ref="AZ14:BD14"/>
    <mergeCell ref="BE14:BI14"/>
    <mergeCell ref="AR16:AT16"/>
    <mergeCell ref="AC14:AE14"/>
    <mergeCell ref="Z15:AB15"/>
    <mergeCell ref="AC15:AE15"/>
    <mergeCell ref="AR25:AT25"/>
    <mergeCell ref="B28:Z28"/>
    <mergeCell ref="T20:V20"/>
    <mergeCell ref="BJ21:BN21"/>
    <mergeCell ref="AR17:AT17"/>
    <mergeCell ref="AR22:AT22"/>
    <mergeCell ref="Z23:AB23"/>
    <mergeCell ref="BI108:BS109"/>
    <mergeCell ref="CD21:CH21"/>
    <mergeCell ref="K143:O143"/>
    <mergeCell ref="CY124:DB124"/>
    <mergeCell ref="V103:X103"/>
    <mergeCell ref="T92:Z92"/>
    <mergeCell ref="AA92:AK92"/>
    <mergeCell ref="AA103:AI103"/>
    <mergeCell ref="Y102:Z103"/>
    <mergeCell ref="AM141:AQ141"/>
    <mergeCell ref="AM142:AQ142"/>
    <mergeCell ref="AM143:AQ143"/>
    <mergeCell ref="BL141:BP141"/>
    <mergeCell ref="BL142:BP142"/>
    <mergeCell ref="BL143:BP143"/>
    <mergeCell ref="CG141:CK141"/>
    <mergeCell ref="CG142:CK142"/>
    <mergeCell ref="CG143:CK143"/>
    <mergeCell ref="J92:P93"/>
    <mergeCell ref="CY106:DB106"/>
    <mergeCell ref="CY107:DB107"/>
    <mergeCell ref="CY116:DB116"/>
    <mergeCell ref="CY115:DB115"/>
    <mergeCell ref="CT140:DB140"/>
    <mergeCell ref="CT141:DB141"/>
    <mergeCell ref="CT142:DB142"/>
    <mergeCell ref="G74:I74"/>
    <mergeCell ref="BO2:BT2"/>
    <mergeCell ref="BO3:BT3"/>
    <mergeCell ref="AU25:AY25"/>
    <mergeCell ref="AZ25:BD25"/>
    <mergeCell ref="BE25:BI25"/>
    <mergeCell ref="BJ25:BN25"/>
    <mergeCell ref="BO25:BS25"/>
    <mergeCell ref="BT25:BX25"/>
    <mergeCell ref="AU22:AY22"/>
    <mergeCell ref="AU23:AY23"/>
    <mergeCell ref="AZ22:BD22"/>
    <mergeCell ref="AZ23:BD23"/>
    <mergeCell ref="AU9:AY9"/>
    <mergeCell ref="AU21:AY21"/>
    <mergeCell ref="AU14:AY14"/>
    <mergeCell ref="AU13:AY13"/>
    <mergeCell ref="BJ17:BN17"/>
    <mergeCell ref="B7:M7"/>
    <mergeCell ref="N7:P7"/>
    <mergeCell ref="B5:P6"/>
    <mergeCell ref="BE13:BI13"/>
    <mergeCell ref="BE11:BI11"/>
    <mergeCell ref="AZ9:BD9"/>
    <mergeCell ref="BE15:BI15"/>
    <mergeCell ref="BE16:BI16"/>
    <mergeCell ref="BE19:BI19"/>
    <mergeCell ref="BE20:BI20"/>
    <mergeCell ref="BE12:BI12"/>
    <mergeCell ref="BE9:BI9"/>
    <mergeCell ref="BE21:BI21"/>
    <mergeCell ref="AZ16:BD16"/>
    <mergeCell ref="AZ12:BD12"/>
    <mergeCell ref="AZ20:BD20"/>
    <mergeCell ref="BJ12:BN12"/>
    <mergeCell ref="CX7:DB7"/>
    <mergeCell ref="BE5:BN6"/>
    <mergeCell ref="BO5:BX6"/>
    <mergeCell ref="BY5:CH6"/>
    <mergeCell ref="CI5:DB5"/>
    <mergeCell ref="CI6:CR6"/>
    <mergeCell ref="CS6:DB6"/>
    <mergeCell ref="BJ9:BN9"/>
    <mergeCell ref="BY9:CC9"/>
    <mergeCell ref="BO7:BS7"/>
    <mergeCell ref="BT7:BX7"/>
    <mergeCell ref="BY7:CC7"/>
    <mergeCell ref="BY11:CC11"/>
    <mergeCell ref="BO12:BS12"/>
    <mergeCell ref="BT10:BX10"/>
    <mergeCell ref="CI12:CM12"/>
    <mergeCell ref="CN11:CR11"/>
    <mergeCell ref="CI9:CM9"/>
    <mergeCell ref="CS12:CW12"/>
    <mergeCell ref="BO11:BS11"/>
    <mergeCell ref="BE10:BI10"/>
    <mergeCell ref="CX10:DB10"/>
    <mergeCell ref="BJ13:BN13"/>
    <mergeCell ref="BT13:BX13"/>
    <mergeCell ref="BT11:BX11"/>
    <mergeCell ref="BJ15:BN15"/>
    <mergeCell ref="BJ16:BN16"/>
    <mergeCell ref="AO7:AQ7"/>
    <mergeCell ref="AR7:AT7"/>
    <mergeCell ref="Q10:S10"/>
    <mergeCell ref="AR12:AT12"/>
    <mergeCell ref="AI11:AK11"/>
    <mergeCell ref="AL11:AN11"/>
    <mergeCell ref="AO11:AQ11"/>
    <mergeCell ref="AR11:AT11"/>
    <mergeCell ref="AR10:AT10"/>
    <mergeCell ref="AL10:AN10"/>
    <mergeCell ref="Z10:AB10"/>
    <mergeCell ref="AC10:AE10"/>
    <mergeCell ref="AF10:AH10"/>
    <mergeCell ref="AI10:AK10"/>
    <mergeCell ref="W7:Y7"/>
    <mergeCell ref="Z7:AB7"/>
    <mergeCell ref="AC7:AE7"/>
    <mergeCell ref="AF7:AH7"/>
    <mergeCell ref="AI7:AK7"/>
    <mergeCell ref="AL7:AN7"/>
    <mergeCell ref="AF9:AH9"/>
    <mergeCell ref="AI9:AK9"/>
    <mergeCell ref="AI12:AK12"/>
    <mergeCell ref="T11:V11"/>
    <mergeCell ref="N17:P17"/>
    <mergeCell ref="N22:P22"/>
    <mergeCell ref="N23:P23"/>
    <mergeCell ref="N20:P20"/>
    <mergeCell ref="N12:P12"/>
    <mergeCell ref="T16:V16"/>
    <mergeCell ref="W16:Y16"/>
    <mergeCell ref="T12:V12"/>
    <mergeCell ref="W12:Y12"/>
    <mergeCell ref="T13:V13"/>
    <mergeCell ref="W13:Y13"/>
    <mergeCell ref="T17:V17"/>
    <mergeCell ref="W17:Y17"/>
    <mergeCell ref="Q16:S16"/>
    <mergeCell ref="T22:V22"/>
    <mergeCell ref="T18:V18"/>
    <mergeCell ref="N21:P21"/>
    <mergeCell ref="N19:P19"/>
    <mergeCell ref="Q19:S19"/>
    <mergeCell ref="N13:P13"/>
    <mergeCell ref="Q17:S17"/>
    <mergeCell ref="Q21:S21"/>
    <mergeCell ref="Q20:S20"/>
    <mergeCell ref="Q12:S12"/>
    <mergeCell ref="AU12:AY12"/>
    <mergeCell ref="W18:Y18"/>
    <mergeCell ref="Z18:AB18"/>
    <mergeCell ref="AF18:AH18"/>
    <mergeCell ref="AI18:AK18"/>
    <mergeCell ref="AI14:AK14"/>
    <mergeCell ref="AC12:AE12"/>
    <mergeCell ref="Z12:AB12"/>
    <mergeCell ref="AL15:AN15"/>
    <mergeCell ref="AL12:AN12"/>
    <mergeCell ref="AO12:AQ12"/>
    <mergeCell ref="AF14:AH14"/>
    <mergeCell ref="AF15:AH15"/>
    <mergeCell ref="Z16:AB16"/>
    <mergeCell ref="AC16:AE16"/>
    <mergeCell ref="AF16:AH16"/>
    <mergeCell ref="AI16:AK16"/>
    <mergeCell ref="AL16:AN16"/>
    <mergeCell ref="AO16:AQ16"/>
    <mergeCell ref="AO13:AQ13"/>
    <mergeCell ref="AR13:AT13"/>
    <mergeCell ref="AU18:AY18"/>
    <mergeCell ref="B9:M9"/>
    <mergeCell ref="B14:M14"/>
    <mergeCell ref="B11:M11"/>
    <mergeCell ref="B17:M17"/>
    <mergeCell ref="Z11:AB11"/>
    <mergeCell ref="AC11:AE11"/>
    <mergeCell ref="AF11:AH11"/>
    <mergeCell ref="N10:P10"/>
    <mergeCell ref="N15:P15"/>
    <mergeCell ref="N16:P16"/>
    <mergeCell ref="N11:P11"/>
    <mergeCell ref="B10:M10"/>
    <mergeCell ref="B15:M15"/>
    <mergeCell ref="B16:M16"/>
    <mergeCell ref="B12:M12"/>
    <mergeCell ref="AF12:AH12"/>
    <mergeCell ref="N9:P9"/>
    <mergeCell ref="N14:P14"/>
    <mergeCell ref="T9:V9"/>
    <mergeCell ref="W14:Y14"/>
    <mergeCell ref="Z14:AB14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CY40:DB40"/>
    <mergeCell ref="DC65:DE65"/>
    <mergeCell ref="AN68:AV68"/>
    <mergeCell ref="CY83:DB83"/>
    <mergeCell ref="CY70:DB70"/>
    <mergeCell ref="Q9:S9"/>
    <mergeCell ref="Q14:S14"/>
    <mergeCell ref="Q13:S13"/>
    <mergeCell ref="Q11:S11"/>
    <mergeCell ref="AO15:AQ15"/>
    <mergeCell ref="AI19:AK19"/>
    <mergeCell ref="AL19:AN19"/>
    <mergeCell ref="AO19:AQ19"/>
    <mergeCell ref="AC13:AE13"/>
    <mergeCell ref="T10:V10"/>
    <mergeCell ref="W10:Y10"/>
    <mergeCell ref="AL9:AN9"/>
    <mergeCell ref="AO9:AQ9"/>
    <mergeCell ref="AO10:AQ10"/>
    <mergeCell ref="W11:Y11"/>
    <mergeCell ref="W9:Y9"/>
    <mergeCell ref="Z9:AB9"/>
    <mergeCell ref="AC9:AE9"/>
    <mergeCell ref="W19:Y19"/>
    <mergeCell ref="Z19:AB19"/>
    <mergeCell ref="Z17:AB17"/>
    <mergeCell ref="AC17:AE17"/>
    <mergeCell ref="AF17:AH17"/>
    <mergeCell ref="AI17:AK17"/>
    <mergeCell ref="AO87:AV87"/>
    <mergeCell ref="T21:V21"/>
    <mergeCell ref="J65:N65"/>
    <mergeCell ref="J56:N56"/>
    <mergeCell ref="J83:N83"/>
    <mergeCell ref="J47:N47"/>
    <mergeCell ref="Z20:AB20"/>
    <mergeCell ref="AC20:AE20"/>
    <mergeCell ref="AF20:AH20"/>
    <mergeCell ref="AI20:AK20"/>
    <mergeCell ref="Q22:S22"/>
    <mergeCell ref="Q23:S23"/>
    <mergeCell ref="B25:P25"/>
    <mergeCell ref="Q25:S25"/>
    <mergeCell ref="B21:M21"/>
    <mergeCell ref="J38:N38"/>
    <mergeCell ref="AR21:AT21"/>
    <mergeCell ref="B22:M22"/>
    <mergeCell ref="B23:M23"/>
    <mergeCell ref="AC23:AE23"/>
    <mergeCell ref="AF23:AH23"/>
    <mergeCell ref="AI23:AK23"/>
    <mergeCell ref="AL23:AN23"/>
    <mergeCell ref="AO23:AQ23"/>
    <mergeCell ref="BJ22:BN22"/>
    <mergeCell ref="BJ23:BN23"/>
    <mergeCell ref="BE22:BI22"/>
    <mergeCell ref="BE23:BI23"/>
    <mergeCell ref="CD22:CH22"/>
    <mergeCell ref="CD23:CH23"/>
    <mergeCell ref="BO21:BS21"/>
    <mergeCell ref="BT21:BX21"/>
    <mergeCell ref="BT20:BX20"/>
    <mergeCell ref="CY79:DB79"/>
    <mergeCell ref="CY87:DB87"/>
    <mergeCell ref="CY88:DB88"/>
    <mergeCell ref="CY96:DB96"/>
    <mergeCell ref="CY97:DB97"/>
    <mergeCell ref="BY22:CC22"/>
    <mergeCell ref="BY23:CC23"/>
    <mergeCell ref="BO22:BS22"/>
    <mergeCell ref="BO23:BS23"/>
    <mergeCell ref="CD25:CH25"/>
    <mergeCell ref="W22:Y22"/>
    <mergeCell ref="W21:Y21"/>
    <mergeCell ref="AA28:BB28"/>
    <mergeCell ref="T23:V23"/>
    <mergeCell ref="W23:Y23"/>
    <mergeCell ref="Z21:AB21"/>
    <mergeCell ref="AC21:AE21"/>
    <mergeCell ref="Z22:AB22"/>
    <mergeCell ref="AC25:AE25"/>
    <mergeCell ref="AF25:AH25"/>
    <mergeCell ref="AI25:AK25"/>
    <mergeCell ref="AL25:AN25"/>
    <mergeCell ref="AO25:AQ25"/>
    <mergeCell ref="AF22:AH22"/>
    <mergeCell ref="Z25:AB25"/>
    <mergeCell ref="T25:V25"/>
    <mergeCell ref="W25:Y25"/>
    <mergeCell ref="AP26:AT26"/>
    <mergeCell ref="AC22:AE22"/>
    <mergeCell ref="AF21:AH21"/>
    <mergeCell ref="AR23:AT23"/>
    <mergeCell ref="AI22:AK22"/>
    <mergeCell ref="AL22:AN22"/>
    <mergeCell ref="AO22:AQ22"/>
    <mergeCell ref="AL14:AN14"/>
    <mergeCell ref="AR15:AT15"/>
    <mergeCell ref="Q15:S15"/>
    <mergeCell ref="B18:M18"/>
    <mergeCell ref="N18:P18"/>
    <mergeCell ref="Q18:S18"/>
    <mergeCell ref="B19:M19"/>
    <mergeCell ref="T19:V19"/>
    <mergeCell ref="AI21:AK21"/>
    <mergeCell ref="AL21:AN21"/>
    <mergeCell ref="AO21:AQ21"/>
    <mergeCell ref="B20:M20"/>
    <mergeCell ref="AR20:AT20"/>
    <mergeCell ref="AL20:AN20"/>
    <mergeCell ref="AO20:AQ20"/>
    <mergeCell ref="AL17:AN17"/>
    <mergeCell ref="AO17:AQ17"/>
    <mergeCell ref="AC19:AE19"/>
    <mergeCell ref="AF19:AH19"/>
    <mergeCell ref="W20:Y20"/>
    <mergeCell ref="J33:M33"/>
    <mergeCell ref="J34:M34"/>
    <mergeCell ref="AC33:AF33"/>
    <mergeCell ref="AC34:AF34"/>
    <mergeCell ref="BG33:BJ33"/>
    <mergeCell ref="BG34:BJ34"/>
    <mergeCell ref="AC95:AI97"/>
    <mergeCell ref="BH95:BN97"/>
    <mergeCell ref="B13:M13"/>
    <mergeCell ref="AO14:AQ14"/>
    <mergeCell ref="AR14:AT14"/>
    <mergeCell ref="T15:V15"/>
    <mergeCell ref="W15:Y15"/>
    <mergeCell ref="AR19:AT19"/>
    <mergeCell ref="Z13:AB13"/>
    <mergeCell ref="AF13:AH13"/>
    <mergeCell ref="AI13:AK13"/>
    <mergeCell ref="AL13:AN13"/>
    <mergeCell ref="AL18:AN18"/>
    <mergeCell ref="AO18:AQ18"/>
    <mergeCell ref="AR18:AT18"/>
    <mergeCell ref="AC18:AE18"/>
    <mergeCell ref="AI15:AK15"/>
    <mergeCell ref="T14:V14"/>
  </mergeCells>
  <pageMargins left="0.19" right="0.01" top="0.05" bottom="0.08" header="0.03" footer="0.1"/>
  <pageSetup paperSize="8" scale="4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5:V48"/>
  <sheetViews>
    <sheetView showGridLines="0" topLeftCell="A10" zoomScale="115" zoomScaleNormal="115" zoomScaleSheetLayoutView="85" workbookViewId="0">
      <selection activeCell="H6" sqref="H6:H7"/>
    </sheetView>
  </sheetViews>
  <sheetFormatPr defaultRowHeight="15"/>
  <cols>
    <col min="1" max="1" width="1.7109375" customWidth="1"/>
    <col min="7" max="7" width="7" customWidth="1"/>
    <col min="13" max="13" width="12" customWidth="1"/>
    <col min="14" max="14" width="9.140625" customWidth="1"/>
    <col min="18" max="18" width="7.7109375" customWidth="1"/>
    <col min="22" max="22" width="6.5703125" customWidth="1"/>
  </cols>
  <sheetData>
    <row r="35" spans="2:22" ht="15.75" thickBot="1"/>
    <row r="36" spans="2:22" ht="16.5" thickTop="1" thickBot="1">
      <c r="B36" s="619" t="s">
        <v>59</v>
      </c>
      <c r="C36" s="620"/>
      <c r="D36" s="620"/>
      <c r="E36" s="620"/>
      <c r="F36" s="620"/>
      <c r="G36" s="621"/>
      <c r="H36" s="619" t="s">
        <v>60</v>
      </c>
      <c r="I36" s="620"/>
      <c r="J36" s="620"/>
      <c r="K36" s="620"/>
      <c r="L36" s="620"/>
      <c r="M36" s="621"/>
      <c r="N36" s="622" t="s">
        <v>61</v>
      </c>
      <c r="O36" s="623"/>
      <c r="P36" s="623"/>
      <c r="Q36" s="623"/>
      <c r="R36" s="624"/>
      <c r="S36" s="622" t="s">
        <v>62</v>
      </c>
      <c r="T36" s="623"/>
      <c r="U36" s="623"/>
      <c r="V36" s="624"/>
    </row>
    <row r="37" spans="2:22" ht="15.75" thickTop="1">
      <c r="B37" s="88"/>
      <c r="C37" s="89"/>
      <c r="D37" s="90"/>
      <c r="E37" s="90"/>
      <c r="F37" s="89"/>
      <c r="G37" s="91"/>
      <c r="H37" s="92"/>
      <c r="I37" s="90"/>
      <c r="J37" s="90"/>
      <c r="K37" s="89"/>
      <c r="L37" s="93"/>
      <c r="M37" s="94"/>
      <c r="N37" s="95"/>
      <c r="O37" s="90"/>
      <c r="P37" s="89"/>
      <c r="Q37" s="93"/>
      <c r="R37" s="94"/>
      <c r="S37" s="95"/>
      <c r="T37" s="90"/>
      <c r="U37" s="89"/>
      <c r="V37" s="91"/>
    </row>
    <row r="38" spans="2:22">
      <c r="B38" s="88"/>
      <c r="C38" s="96"/>
      <c r="D38" s="97"/>
      <c r="E38" s="97"/>
      <c r="F38" s="97"/>
      <c r="G38" s="98"/>
      <c r="H38" s="88"/>
      <c r="I38" s="96"/>
      <c r="J38" s="97"/>
      <c r="K38" s="99"/>
      <c r="L38" s="93"/>
      <c r="M38" s="100"/>
      <c r="N38" s="88"/>
      <c r="O38" s="96"/>
      <c r="P38" s="99"/>
      <c r="Q38" s="93"/>
      <c r="R38" s="100"/>
      <c r="S38" s="88"/>
      <c r="T38" s="96"/>
      <c r="U38" s="99"/>
      <c r="V38" s="91"/>
    </row>
    <row r="39" spans="2:22">
      <c r="B39" s="88"/>
      <c r="C39" s="101"/>
      <c r="D39" s="102"/>
      <c r="E39" s="102"/>
      <c r="F39" s="99"/>
      <c r="G39" s="91"/>
      <c r="H39" s="88"/>
      <c r="I39" s="96"/>
      <c r="J39" s="97"/>
      <c r="K39" s="99"/>
      <c r="L39" s="93"/>
      <c r="M39" s="100"/>
      <c r="N39" s="88"/>
      <c r="O39" s="96"/>
      <c r="P39" s="99"/>
      <c r="Q39" s="93"/>
      <c r="R39" s="100"/>
      <c r="S39" s="88"/>
      <c r="T39" s="97"/>
      <c r="U39" s="99"/>
      <c r="V39" s="91"/>
    </row>
    <row r="40" spans="2:22">
      <c r="B40" s="88"/>
      <c r="C40" s="101"/>
      <c r="D40" s="97"/>
      <c r="E40" s="97"/>
      <c r="F40" s="99"/>
      <c r="G40" s="91"/>
      <c r="H40" s="88"/>
      <c r="I40" s="96"/>
      <c r="J40" s="97"/>
      <c r="K40" s="99"/>
      <c r="L40" s="93"/>
      <c r="M40" s="100"/>
      <c r="N40" s="88"/>
      <c r="O40" s="96"/>
      <c r="P40" s="99"/>
      <c r="Q40" s="93"/>
      <c r="R40" s="100"/>
      <c r="S40" s="88"/>
      <c r="T40" s="97"/>
      <c r="U40" s="99"/>
      <c r="V40" s="91"/>
    </row>
    <row r="41" spans="2:22">
      <c r="B41" s="88"/>
      <c r="C41" s="101"/>
      <c r="D41" s="97"/>
      <c r="E41" s="97"/>
      <c r="F41" s="99"/>
      <c r="G41" s="91"/>
      <c r="H41" s="88"/>
      <c r="I41" s="97"/>
      <c r="J41" s="97"/>
      <c r="K41" s="99"/>
      <c r="L41" s="93"/>
      <c r="M41" s="100"/>
      <c r="N41" s="88"/>
      <c r="O41" s="96"/>
      <c r="P41" s="99"/>
      <c r="Q41" s="93"/>
      <c r="R41" s="100"/>
      <c r="S41" s="88"/>
      <c r="T41" s="97"/>
      <c r="U41" s="99"/>
      <c r="V41" s="91"/>
    </row>
    <row r="42" spans="2:22">
      <c r="B42" s="88"/>
      <c r="C42" s="103"/>
      <c r="D42" s="97"/>
      <c r="E42" s="97"/>
      <c r="F42" s="99"/>
      <c r="G42" s="91"/>
      <c r="H42" s="88"/>
      <c r="I42" s="90"/>
      <c r="J42" s="97"/>
      <c r="K42" s="99"/>
      <c r="L42" s="93"/>
      <c r="M42" s="100"/>
      <c r="N42" s="88"/>
      <c r="O42" s="96"/>
      <c r="P42" s="99"/>
      <c r="Q42" s="93"/>
      <c r="R42" s="100"/>
      <c r="S42" s="88"/>
      <c r="T42" s="97"/>
      <c r="U42" s="99"/>
      <c r="V42" s="91"/>
    </row>
    <row r="43" spans="2:22">
      <c r="B43" s="88"/>
      <c r="C43" s="103"/>
      <c r="D43" s="97"/>
      <c r="E43" s="97"/>
      <c r="F43" s="99"/>
      <c r="G43" s="91"/>
      <c r="H43" s="88"/>
      <c r="I43" s="96"/>
      <c r="J43" s="97"/>
      <c r="K43" s="99"/>
      <c r="L43" s="93"/>
      <c r="M43" s="100"/>
      <c r="N43" s="88"/>
      <c r="O43" s="96"/>
      <c r="P43" s="99"/>
      <c r="Q43" s="93"/>
      <c r="R43" s="100"/>
      <c r="S43" s="88"/>
      <c r="T43" s="97"/>
      <c r="U43" s="99"/>
      <c r="V43" s="91"/>
    </row>
    <row r="44" spans="2:22">
      <c r="B44" s="88"/>
      <c r="C44" s="103"/>
      <c r="D44" s="97"/>
      <c r="E44" s="97"/>
      <c r="F44" s="99"/>
      <c r="G44" s="91"/>
      <c r="H44" s="88"/>
      <c r="I44" s="96"/>
      <c r="J44" s="97"/>
      <c r="K44" s="99"/>
      <c r="L44" s="93"/>
      <c r="M44" s="100"/>
      <c r="N44" s="88"/>
      <c r="O44" s="96"/>
      <c r="P44" s="99"/>
      <c r="Q44" s="93"/>
      <c r="R44" s="100"/>
      <c r="S44" s="88"/>
      <c r="T44" s="97"/>
      <c r="U44" s="99"/>
      <c r="V44" s="91"/>
    </row>
    <row r="45" spans="2:22">
      <c r="B45" s="88"/>
      <c r="C45" s="103"/>
      <c r="D45" s="97"/>
      <c r="E45" s="97"/>
      <c r="F45" s="99"/>
      <c r="G45" s="91"/>
      <c r="H45" s="88"/>
      <c r="I45" s="96"/>
      <c r="J45" s="97"/>
      <c r="K45" s="99"/>
      <c r="L45" s="93"/>
      <c r="M45" s="100"/>
      <c r="N45" s="88"/>
      <c r="O45" s="96"/>
      <c r="P45" s="99"/>
      <c r="Q45" s="93"/>
      <c r="R45" s="100"/>
      <c r="S45" s="88"/>
      <c r="T45" s="97"/>
      <c r="U45" s="99"/>
      <c r="V45" s="91"/>
    </row>
    <row r="46" spans="2:22">
      <c r="B46" s="88"/>
      <c r="C46" s="103"/>
      <c r="D46" s="97"/>
      <c r="E46" s="97"/>
      <c r="F46" s="99"/>
      <c r="G46" s="91"/>
      <c r="H46" s="88"/>
      <c r="I46" s="96"/>
      <c r="J46" s="97"/>
      <c r="K46" s="99"/>
      <c r="L46" s="93"/>
      <c r="M46" s="100"/>
      <c r="N46" s="88"/>
      <c r="O46" s="97"/>
      <c r="P46" s="99"/>
      <c r="Q46" s="93"/>
      <c r="R46" s="100"/>
      <c r="S46" s="88"/>
      <c r="T46" s="97"/>
      <c r="U46" s="99"/>
      <c r="V46" s="91"/>
    </row>
    <row r="47" spans="2:22" ht="15.75" thickBot="1">
      <c r="B47" s="104"/>
      <c r="C47" s="105"/>
      <c r="D47" s="106"/>
      <c r="E47" s="106"/>
      <c r="F47" s="106"/>
      <c r="G47" s="107"/>
      <c r="H47" s="104"/>
      <c r="I47" s="106"/>
      <c r="J47" s="106"/>
      <c r="K47" s="106"/>
      <c r="L47" s="106"/>
      <c r="M47" s="107"/>
      <c r="N47" s="104"/>
      <c r="O47" s="106"/>
      <c r="P47" s="106"/>
      <c r="Q47" s="106"/>
      <c r="R47" s="107"/>
      <c r="S47" s="104"/>
      <c r="T47" s="106"/>
      <c r="U47" s="106"/>
      <c r="V47" s="107"/>
    </row>
    <row r="48" spans="2:22" ht="15.75" thickTop="1"/>
  </sheetData>
  <mergeCells count="4">
    <mergeCell ref="B36:G36"/>
    <mergeCell ref="H36:M36"/>
    <mergeCell ref="N36:R36"/>
    <mergeCell ref="S36:V36"/>
  </mergeCells>
  <pageMargins left="0.17" right="0.2" top="0.52" bottom="0.31" header="0.3" footer="0.3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2:X25"/>
  <sheetViews>
    <sheetView zoomScaleNormal="100" zoomScaleSheetLayoutView="115" workbookViewId="0">
      <selection activeCell="H38" sqref="H38"/>
    </sheetView>
  </sheetViews>
  <sheetFormatPr defaultRowHeight="15"/>
  <sheetData>
    <row r="2" spans="2:24">
      <c r="B2" s="108"/>
      <c r="C2" s="625" t="s">
        <v>63</v>
      </c>
      <c r="D2" s="626"/>
    </row>
    <row r="3" spans="2:24">
      <c r="B3" s="109"/>
      <c r="C3" s="625" t="s">
        <v>64</v>
      </c>
      <c r="D3" s="626"/>
    </row>
    <row r="4" spans="2:24">
      <c r="B4" s="110"/>
      <c r="C4" s="625" t="s">
        <v>65</v>
      </c>
      <c r="D4" s="626"/>
    </row>
    <row r="6" spans="2:24" ht="15.75">
      <c r="X6" s="212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212"/>
    </row>
    <row r="23" spans="24:24" ht="16.5">
      <c r="X23" s="18"/>
    </row>
    <row r="24" spans="24:24" ht="16.5">
      <c r="X24" s="17"/>
    </row>
    <row r="25" spans="24:24" ht="16.5">
      <c r="X25" s="18"/>
    </row>
  </sheetData>
  <mergeCells count="3">
    <mergeCell ref="C2:D2"/>
    <mergeCell ref="C3:D3"/>
    <mergeCell ref="C4:D4"/>
  </mergeCells>
  <pageMargins left="0.15" right="0.09" top="0.86" bottom="0.75" header="0.3" footer="0.3"/>
  <pageSetup paperSize="9" scale="9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O21"/>
  <sheetViews>
    <sheetView zoomScale="85" zoomScaleNormal="85" workbookViewId="0">
      <pane xSplit="7" topLeftCell="H1" activePane="topRight" state="frozen"/>
      <selection pane="topRight" activeCell="K8" sqref="K8"/>
    </sheetView>
  </sheetViews>
  <sheetFormatPr defaultRowHeight="14.25"/>
  <cols>
    <col min="1" max="1" width="2.28515625" style="165" customWidth="1"/>
    <col min="2" max="2" width="26.42578125" style="165" customWidth="1"/>
    <col min="3" max="3" width="10.28515625" style="165" customWidth="1"/>
    <col min="4" max="6" width="8.85546875" style="6" customWidth="1"/>
    <col min="7" max="7" width="8.85546875" style="165" customWidth="1"/>
    <col min="8" max="31" width="9.140625" style="165" customWidth="1"/>
    <col min="32" max="35" width="9.140625" style="165" hidden="1" customWidth="1"/>
    <col min="36" max="38" width="10" style="165" hidden="1" customWidth="1"/>
    <col min="39" max="39" width="10.28515625" style="165" hidden="1" customWidth="1"/>
    <col min="40" max="40" width="7" style="165" hidden="1" customWidth="1"/>
    <col min="41" max="41" width="10.28515625" style="165" hidden="1" customWidth="1"/>
    <col min="42" max="47" width="9.140625" style="165" hidden="1" customWidth="1"/>
    <col min="48" max="67" width="0" style="165" hidden="1" customWidth="1"/>
    <col min="68" max="16384" width="9.140625" style="165"/>
  </cols>
  <sheetData>
    <row r="1" spans="1:67" ht="25.5">
      <c r="A1" s="162"/>
      <c r="B1" s="182" t="s">
        <v>136</v>
      </c>
      <c r="C1" s="163"/>
      <c r="D1" s="180"/>
      <c r="E1" s="180"/>
      <c r="F1" s="180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4"/>
      <c r="AK1" s="164"/>
      <c r="AL1" s="164"/>
      <c r="AM1" s="163"/>
      <c r="AN1" s="163"/>
      <c r="AO1" s="163"/>
    </row>
    <row r="2" spans="1:67" ht="13.5" customHeight="1">
      <c r="A2" s="162"/>
      <c r="B2" s="166"/>
      <c r="C2" s="166"/>
      <c r="D2" s="169"/>
      <c r="E2" s="169"/>
      <c r="F2" s="169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6"/>
      <c r="AK2" s="166"/>
      <c r="AL2" s="166"/>
      <c r="AM2" s="163"/>
      <c r="AN2" s="168"/>
      <c r="AO2" s="167"/>
    </row>
    <row r="3" spans="1:67" ht="16.5" customHeight="1" thickBot="1">
      <c r="A3" s="162"/>
      <c r="B3" s="170"/>
      <c r="C3" s="171"/>
      <c r="D3" s="181"/>
      <c r="E3" s="181"/>
      <c r="F3" s="181"/>
      <c r="G3" s="171"/>
      <c r="H3" s="171"/>
      <c r="I3" s="171"/>
      <c r="J3" s="171"/>
      <c r="K3" s="171"/>
      <c r="L3" s="172"/>
      <c r="M3" s="172"/>
      <c r="N3" s="172"/>
      <c r="O3" s="172"/>
      <c r="P3" s="173"/>
      <c r="Q3" s="166"/>
      <c r="R3" s="166"/>
      <c r="S3" s="174"/>
      <c r="T3" s="174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61"/>
      <c r="AK3" s="161"/>
      <c r="AL3" s="161"/>
      <c r="AM3" s="161"/>
      <c r="AN3" s="169"/>
      <c r="AO3" s="164"/>
    </row>
    <row r="4" spans="1:67" ht="49.5" customHeight="1" thickBot="1">
      <c r="A4" s="162"/>
      <c r="B4" s="638" t="s">
        <v>141</v>
      </c>
      <c r="C4" s="639"/>
      <c r="D4" s="630" t="s">
        <v>7</v>
      </c>
      <c r="E4" s="631"/>
      <c r="F4" s="631"/>
      <c r="G4" s="632"/>
      <c r="H4" s="640" t="str">
        <f>IF('Stowage Plan'!$B$9="","",CONCATENATE('Stowage Plan'!$B$9, " (",'Stowage Plan'!$N$9,")"))</f>
        <v>DARWIN (DRW)</v>
      </c>
      <c r="I4" s="636"/>
      <c r="J4" s="636"/>
      <c r="K4" s="637"/>
      <c r="L4" s="635" t="str">
        <f>IF('Stowage Plan'!B10="","",CONCATENATE('Stowage Plan'!B10, " (",'Stowage Plan'!N10,")"))</f>
        <v>BRISBANE (BNE)</v>
      </c>
      <c r="M4" s="636"/>
      <c r="N4" s="636"/>
      <c r="O4" s="637"/>
      <c r="P4" s="635" t="str">
        <f>IF('Stowage Plan'!B11="","",CONCATENATE('Stowage Plan'!B11, " (",'Stowage Plan'!N11,")"))</f>
        <v>PORT KEMBLA (PKL)</v>
      </c>
      <c r="Q4" s="636"/>
      <c r="R4" s="636"/>
      <c r="S4" s="637"/>
      <c r="T4" s="635" t="str">
        <f>IF('Stowage Plan'!B12="","",CONCATENATE('Stowage Plan'!B12, " (",'Stowage Plan'!N12,")"))</f>
        <v>MELBOURNE (MEL)</v>
      </c>
      <c r="U4" s="636"/>
      <c r="V4" s="636"/>
      <c r="W4" s="637"/>
      <c r="X4" s="635" t="str">
        <f>IF('Stowage Plan'!B13="","",CONCATENATE('Stowage Plan'!B13, " (",'Stowage Plan'!N13,")"))</f>
        <v>FREMANTLE (FRE)</v>
      </c>
      <c r="Y4" s="636"/>
      <c r="Z4" s="636"/>
      <c r="AA4" s="637"/>
      <c r="AB4" s="635" t="str">
        <f>IF('Stowage Plan'!B14="","",CONCATENATE('Stowage Plan'!B14, " (",'Stowage Plan'!N14,")"))</f>
        <v>SINGAPORE (SIN)</v>
      </c>
      <c r="AC4" s="636"/>
      <c r="AD4" s="636"/>
      <c r="AE4" s="637"/>
      <c r="AF4" s="627" t="str">
        <f>IF('Stowage Plan'!B15="","",CONCATENATE('Stowage Plan'!B15, " (",'Stowage Plan'!N15,")"))</f>
        <v/>
      </c>
      <c r="AG4" s="628"/>
      <c r="AH4" s="628"/>
      <c r="AI4" s="629"/>
      <c r="AJ4" s="627" t="str">
        <f>IF('Stowage Plan'!B16="","",CONCATENATE('Stowage Plan'!B16, " (",'Stowage Plan'!N16,")"))</f>
        <v/>
      </c>
      <c r="AK4" s="628"/>
      <c r="AL4" s="628"/>
      <c r="AM4" s="629"/>
      <c r="AN4" s="627" t="str">
        <f>IF('Stowage Plan'!B17="","",CONCATENATE('Stowage Plan'!B17," (",'Stowage Plan'!N17,")"))</f>
        <v/>
      </c>
      <c r="AO4" s="628"/>
      <c r="AP4" s="628"/>
      <c r="AQ4" s="629"/>
      <c r="AR4" s="627" t="str">
        <f>IF('Stowage Plan'!B18="","",CONCATENATE('Stowage Plan'!B18, " (",'Stowage Plan'!N18,")"))</f>
        <v/>
      </c>
      <c r="AS4" s="628"/>
      <c r="AT4" s="628"/>
      <c r="AU4" s="629"/>
      <c r="AV4" s="627" t="str">
        <f>IF('Stowage Plan'!B19="","",CONCATENATE('Stowage Plan'!B19, " (",'Stowage Plan'!N19,")"))</f>
        <v/>
      </c>
      <c r="AW4" s="628"/>
      <c r="AX4" s="628"/>
      <c r="AY4" s="629"/>
      <c r="AZ4" s="627"/>
      <c r="BA4" s="628"/>
      <c r="BB4" s="628"/>
      <c r="BC4" s="629"/>
      <c r="BD4" s="627"/>
      <c r="BE4" s="628"/>
      <c r="BF4" s="628"/>
      <c r="BG4" s="629"/>
      <c r="BH4" s="627"/>
      <c r="BI4" s="628"/>
      <c r="BJ4" s="628"/>
      <c r="BK4" s="629"/>
      <c r="BL4" s="627"/>
      <c r="BM4" s="628"/>
      <c r="BN4" s="628"/>
      <c r="BO4" s="629"/>
    </row>
    <row r="5" spans="1:67" ht="15.75" thickBot="1">
      <c r="A5" s="162"/>
      <c r="B5" s="187" t="s">
        <v>51</v>
      </c>
      <c r="C5" s="189" t="s">
        <v>50</v>
      </c>
      <c r="D5" s="187" t="s">
        <v>137</v>
      </c>
      <c r="E5" s="187" t="s">
        <v>140</v>
      </c>
      <c r="F5" s="187" t="s">
        <v>20</v>
      </c>
      <c r="G5" s="187" t="s">
        <v>140</v>
      </c>
      <c r="H5" s="190" t="s">
        <v>137</v>
      </c>
      <c r="I5" s="187" t="s">
        <v>140</v>
      </c>
      <c r="J5" s="187" t="s">
        <v>20</v>
      </c>
      <c r="K5" s="187" t="s">
        <v>140</v>
      </c>
      <c r="L5" s="187" t="s">
        <v>137</v>
      </c>
      <c r="M5" s="187" t="s">
        <v>140</v>
      </c>
      <c r="N5" s="187" t="s">
        <v>20</v>
      </c>
      <c r="O5" s="187" t="s">
        <v>140</v>
      </c>
      <c r="P5" s="187" t="s">
        <v>137</v>
      </c>
      <c r="Q5" s="187" t="s">
        <v>140</v>
      </c>
      <c r="R5" s="187" t="s">
        <v>20</v>
      </c>
      <c r="S5" s="187" t="s">
        <v>140</v>
      </c>
      <c r="T5" s="187" t="s">
        <v>137</v>
      </c>
      <c r="U5" s="187" t="s">
        <v>140</v>
      </c>
      <c r="V5" s="187" t="s">
        <v>20</v>
      </c>
      <c r="W5" s="187" t="s">
        <v>140</v>
      </c>
      <c r="X5" s="187" t="s">
        <v>137</v>
      </c>
      <c r="Y5" s="187" t="s">
        <v>140</v>
      </c>
      <c r="Z5" s="187" t="s">
        <v>20</v>
      </c>
      <c r="AA5" s="187" t="s">
        <v>140</v>
      </c>
      <c r="AB5" s="187" t="s">
        <v>137</v>
      </c>
      <c r="AC5" s="187" t="s">
        <v>140</v>
      </c>
      <c r="AD5" s="187" t="s">
        <v>20</v>
      </c>
      <c r="AE5" s="187" t="s">
        <v>140</v>
      </c>
      <c r="AF5" s="177" t="s">
        <v>137</v>
      </c>
      <c r="AG5" s="177" t="s">
        <v>140</v>
      </c>
      <c r="AH5" s="177" t="s">
        <v>20</v>
      </c>
      <c r="AI5" s="177" t="s">
        <v>140</v>
      </c>
      <c r="AJ5" s="177" t="s">
        <v>137</v>
      </c>
      <c r="AK5" s="177" t="s">
        <v>140</v>
      </c>
      <c r="AL5" s="177" t="s">
        <v>20</v>
      </c>
      <c r="AM5" s="177" t="s">
        <v>140</v>
      </c>
      <c r="AN5" s="177" t="s">
        <v>137</v>
      </c>
      <c r="AO5" s="177" t="s">
        <v>140</v>
      </c>
      <c r="AP5" s="177" t="s">
        <v>20</v>
      </c>
      <c r="AQ5" s="177" t="s">
        <v>140</v>
      </c>
      <c r="AR5" s="177" t="s">
        <v>137</v>
      </c>
      <c r="AS5" s="177" t="s">
        <v>140</v>
      </c>
      <c r="AT5" s="177" t="s">
        <v>20</v>
      </c>
      <c r="AU5" s="177" t="s">
        <v>140</v>
      </c>
      <c r="AV5" s="177" t="s">
        <v>137</v>
      </c>
      <c r="AW5" s="177" t="s">
        <v>140</v>
      </c>
      <c r="AX5" s="177" t="s">
        <v>20</v>
      </c>
      <c r="AY5" s="177" t="s">
        <v>140</v>
      </c>
      <c r="AZ5" s="177" t="s">
        <v>137</v>
      </c>
      <c r="BA5" s="177" t="s">
        <v>140</v>
      </c>
      <c r="BB5" s="177" t="s">
        <v>20</v>
      </c>
      <c r="BC5" s="177" t="s">
        <v>140</v>
      </c>
      <c r="BD5" s="177" t="s">
        <v>137</v>
      </c>
      <c r="BE5" s="177" t="s">
        <v>140</v>
      </c>
      <c r="BF5" s="177" t="s">
        <v>20</v>
      </c>
      <c r="BG5" s="177" t="s">
        <v>140</v>
      </c>
      <c r="BH5" s="177" t="s">
        <v>137</v>
      </c>
      <c r="BI5" s="177" t="s">
        <v>140</v>
      </c>
      <c r="BJ5" s="177" t="s">
        <v>20</v>
      </c>
      <c r="BK5" s="177" t="s">
        <v>140</v>
      </c>
      <c r="BL5" s="177" t="s">
        <v>137</v>
      </c>
      <c r="BM5" s="177" t="s">
        <v>140</v>
      </c>
      <c r="BN5" s="177" t="s">
        <v>20</v>
      </c>
      <c r="BO5" s="177" t="s">
        <v>140</v>
      </c>
    </row>
    <row r="6" spans="1:67">
      <c r="B6" s="192"/>
      <c r="C6" s="192"/>
      <c r="D6" s="193"/>
      <c r="E6" s="193"/>
      <c r="F6" s="193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  <c r="BA6" s="192"/>
      <c r="BB6" s="192"/>
      <c r="BC6" s="192"/>
      <c r="BD6" s="192"/>
      <c r="BE6" s="192"/>
      <c r="BF6" s="192"/>
      <c r="BG6" s="192"/>
      <c r="BH6" s="192"/>
      <c r="BI6" s="192"/>
      <c r="BJ6" s="192"/>
      <c r="BK6" s="192"/>
      <c r="BL6" s="192"/>
      <c r="BM6" s="192"/>
      <c r="BN6" s="192"/>
      <c r="BO6" s="192"/>
    </row>
    <row r="7" spans="1:67" ht="15.75">
      <c r="A7" s="162"/>
      <c r="B7" s="191" t="s">
        <v>138</v>
      </c>
      <c r="C7" s="191" t="s">
        <v>58</v>
      </c>
      <c r="D7" s="188">
        <f>IF(B7="","",SumNonContiguous(H7:AU7,0))</f>
        <v>315</v>
      </c>
      <c r="E7" s="188">
        <f>IF(B7="","",SumNonContiguous(H7:AU7,1))</f>
        <v>466.7</v>
      </c>
      <c r="F7" s="188">
        <f>IF(B7="","",SumNonContiguous(H7:AU7,2))</f>
        <v>20</v>
      </c>
      <c r="G7" s="188">
        <f>IF(B7="","",SumNonContiguous(H7:AU7,3))</f>
        <v>51.3</v>
      </c>
      <c r="H7" s="188">
        <v>315</v>
      </c>
      <c r="I7" s="188">
        <v>466.7</v>
      </c>
      <c r="J7" s="188">
        <v>12</v>
      </c>
      <c r="K7" s="188">
        <v>35.5</v>
      </c>
      <c r="L7" s="188"/>
      <c r="M7" s="188"/>
      <c r="N7" s="188"/>
      <c r="O7" s="188"/>
      <c r="P7" s="188"/>
      <c r="Q7" s="188"/>
      <c r="R7" s="188">
        <v>8</v>
      </c>
      <c r="S7" s="188">
        <v>15.8</v>
      </c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B7" s="179"/>
      <c r="BC7" s="179"/>
      <c r="BD7" s="179"/>
      <c r="BE7" s="179"/>
      <c r="BF7" s="179"/>
      <c r="BG7" s="179"/>
      <c r="BH7" s="179"/>
      <c r="BI7" s="179"/>
      <c r="BJ7" s="179"/>
      <c r="BK7" s="179"/>
      <c r="BL7" s="179"/>
      <c r="BM7" s="179"/>
      <c r="BN7" s="179"/>
      <c r="BO7" s="179"/>
    </row>
    <row r="8" spans="1:67" ht="15.75">
      <c r="A8" s="162"/>
      <c r="B8" s="191" t="s">
        <v>139</v>
      </c>
      <c r="C8" s="191" t="s">
        <v>91</v>
      </c>
      <c r="D8" s="188">
        <f>IF(B8="","",SumNonContiguous(H8:AU8,0))</f>
        <v>0</v>
      </c>
      <c r="E8" s="188">
        <f>IF(B8="","",SumNonContiguous(H8:AU8,1))</f>
        <v>0</v>
      </c>
      <c r="F8" s="188">
        <f>IF(B8="","",SumNonContiguous(H8:AU8,2))</f>
        <v>0</v>
      </c>
      <c r="G8" s="188">
        <f>IF(B8="","",SumNonContiguous(H8:AU8,3))</f>
        <v>0</v>
      </c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88"/>
      <c r="Z8" s="188"/>
      <c r="AA8" s="188"/>
      <c r="AB8" s="188"/>
      <c r="AC8" s="188"/>
      <c r="AD8" s="188"/>
      <c r="AE8" s="188"/>
      <c r="AF8" s="179"/>
      <c r="AG8" s="179"/>
      <c r="AH8" s="179"/>
      <c r="AI8" s="179"/>
      <c r="AJ8" s="179"/>
      <c r="AK8" s="179"/>
      <c r="AL8" s="179"/>
      <c r="AM8" s="179"/>
      <c r="AN8" s="179"/>
      <c r="AO8" s="179"/>
      <c r="AP8" s="179"/>
      <c r="AQ8" s="179"/>
      <c r="AR8" s="179"/>
      <c r="AS8" s="179"/>
      <c r="AT8" s="179"/>
      <c r="AU8" s="179"/>
      <c r="AV8" s="179"/>
      <c r="AW8" s="179"/>
      <c r="AX8" s="179"/>
      <c r="AY8" s="179"/>
      <c r="AZ8" s="179"/>
      <c r="BA8" s="179"/>
      <c r="BB8" s="179"/>
      <c r="BC8" s="179"/>
      <c r="BD8" s="179"/>
      <c r="BE8" s="179"/>
      <c r="BF8" s="179"/>
      <c r="BG8" s="179"/>
      <c r="BH8" s="179"/>
      <c r="BI8" s="179"/>
      <c r="BJ8" s="179"/>
      <c r="BK8" s="179"/>
      <c r="BL8" s="179"/>
      <c r="BM8" s="179"/>
      <c r="BN8" s="179"/>
      <c r="BO8" s="179"/>
    </row>
    <row r="9" spans="1:67" ht="15.75">
      <c r="A9" s="162"/>
      <c r="B9" s="191"/>
      <c r="C9" s="191"/>
      <c r="D9" s="188" t="str">
        <f>IF(B9="","",SumNonContiguous(H9:AU9,0))</f>
        <v/>
      </c>
      <c r="E9" s="188" t="str">
        <f>IF(B9="","",SumNonContiguous(H9:AU9,1))</f>
        <v/>
      </c>
      <c r="F9" s="188" t="str">
        <f>IF(B9="","",SumNonContiguous(H9:AU9,2))</f>
        <v/>
      </c>
      <c r="G9" s="188" t="str">
        <f>IF(B9="","",SumNonContiguous(H9:AU9,3))</f>
        <v/>
      </c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</row>
    <row r="10" spans="1:67" ht="15.75">
      <c r="A10" s="162"/>
      <c r="B10" s="191"/>
      <c r="C10" s="191"/>
      <c r="D10" s="188" t="str">
        <f t="shared" ref="D10:D19" si="0">IF(B10="","",SumNonContiguous(H10:AU10,0))</f>
        <v/>
      </c>
      <c r="E10" s="188" t="str">
        <f t="shared" ref="E10:E19" si="1">IF(B10="","",SumNonContiguous(H10:AU10,1))</f>
        <v/>
      </c>
      <c r="F10" s="188" t="str">
        <f t="shared" ref="F10:F19" si="2">IF(B10="","",SumNonContiguous(H10:AU10,2))</f>
        <v/>
      </c>
      <c r="G10" s="188" t="str">
        <f t="shared" ref="G10:G19" si="3">IF(B10="","",SumNonContiguous(H10:AU10,3))</f>
        <v/>
      </c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</row>
    <row r="11" spans="1:67" ht="15.75">
      <c r="A11" s="162"/>
      <c r="B11" s="191"/>
      <c r="C11" s="191"/>
      <c r="D11" s="188" t="str">
        <f t="shared" si="0"/>
        <v/>
      </c>
      <c r="E11" s="188" t="str">
        <f t="shared" si="1"/>
        <v/>
      </c>
      <c r="F11" s="188" t="str">
        <f t="shared" si="2"/>
        <v/>
      </c>
      <c r="G11" s="188" t="str">
        <f t="shared" si="3"/>
        <v/>
      </c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</row>
    <row r="12" spans="1:67" ht="15.75">
      <c r="A12" s="162"/>
      <c r="B12" s="191"/>
      <c r="C12" s="191"/>
      <c r="D12" s="188" t="str">
        <f t="shared" si="0"/>
        <v/>
      </c>
      <c r="E12" s="188" t="str">
        <f t="shared" si="1"/>
        <v/>
      </c>
      <c r="F12" s="188" t="str">
        <f t="shared" si="2"/>
        <v/>
      </c>
      <c r="G12" s="188" t="str">
        <f t="shared" si="3"/>
        <v/>
      </c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</row>
    <row r="13" spans="1:67" ht="15.75">
      <c r="A13" s="162"/>
      <c r="B13" s="191"/>
      <c r="C13" s="191"/>
      <c r="D13" s="188" t="str">
        <f t="shared" si="0"/>
        <v/>
      </c>
      <c r="E13" s="188" t="str">
        <f t="shared" si="1"/>
        <v/>
      </c>
      <c r="F13" s="188" t="str">
        <f t="shared" si="2"/>
        <v/>
      </c>
      <c r="G13" s="188" t="str">
        <f t="shared" si="3"/>
        <v/>
      </c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</row>
    <row r="14" spans="1:67" ht="15.75">
      <c r="A14" s="162"/>
      <c r="B14" s="191"/>
      <c r="C14" s="191"/>
      <c r="D14" s="188" t="str">
        <f t="shared" si="0"/>
        <v/>
      </c>
      <c r="E14" s="188" t="str">
        <f t="shared" si="1"/>
        <v/>
      </c>
      <c r="F14" s="188" t="str">
        <f t="shared" si="2"/>
        <v/>
      </c>
      <c r="G14" s="188" t="str">
        <f t="shared" si="3"/>
        <v/>
      </c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179"/>
      <c r="BN14" s="179"/>
      <c r="BO14" s="179"/>
    </row>
    <row r="15" spans="1:67" ht="15.75">
      <c r="A15" s="162"/>
      <c r="B15" s="191"/>
      <c r="C15" s="191"/>
      <c r="D15" s="188" t="str">
        <f t="shared" si="0"/>
        <v/>
      </c>
      <c r="E15" s="188" t="str">
        <f t="shared" si="1"/>
        <v/>
      </c>
      <c r="F15" s="188" t="str">
        <f t="shared" si="2"/>
        <v/>
      </c>
      <c r="G15" s="188" t="str">
        <f t="shared" si="3"/>
        <v/>
      </c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179"/>
      <c r="BN15" s="179"/>
      <c r="BO15" s="179"/>
    </row>
    <row r="16" spans="1:67" ht="15.75">
      <c r="A16" s="162"/>
      <c r="B16" s="191"/>
      <c r="C16" s="191"/>
      <c r="D16" s="188" t="str">
        <f t="shared" si="0"/>
        <v/>
      </c>
      <c r="E16" s="188" t="str">
        <f t="shared" si="1"/>
        <v/>
      </c>
      <c r="F16" s="188" t="str">
        <f t="shared" si="2"/>
        <v/>
      </c>
      <c r="G16" s="188" t="str">
        <f t="shared" si="3"/>
        <v/>
      </c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</row>
    <row r="17" spans="1:67" ht="15.75">
      <c r="A17" s="162"/>
      <c r="B17" s="191"/>
      <c r="C17" s="191"/>
      <c r="D17" s="188" t="str">
        <f t="shared" si="0"/>
        <v/>
      </c>
      <c r="E17" s="188" t="str">
        <f t="shared" si="1"/>
        <v/>
      </c>
      <c r="F17" s="188" t="str">
        <f t="shared" si="2"/>
        <v/>
      </c>
      <c r="G17" s="188" t="str">
        <f t="shared" si="3"/>
        <v/>
      </c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88"/>
      <c r="W17" s="188"/>
      <c r="X17" s="188"/>
      <c r="Y17" s="188"/>
      <c r="Z17" s="188"/>
      <c r="AA17" s="188"/>
      <c r="AB17" s="188"/>
      <c r="AC17" s="188"/>
      <c r="AD17" s="188"/>
      <c r="AE17" s="188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79"/>
      <c r="BB17" s="179"/>
      <c r="BC17" s="179"/>
      <c r="BD17" s="179"/>
      <c r="BE17" s="179"/>
      <c r="BF17" s="179"/>
      <c r="BG17" s="179"/>
      <c r="BH17" s="179"/>
      <c r="BI17" s="179"/>
      <c r="BJ17" s="179"/>
      <c r="BK17" s="179"/>
      <c r="BL17" s="179"/>
      <c r="BM17" s="179"/>
      <c r="BN17" s="179"/>
      <c r="BO17" s="179"/>
    </row>
    <row r="18" spans="1:67" ht="15.75">
      <c r="A18" s="162"/>
      <c r="B18" s="191"/>
      <c r="C18" s="191"/>
      <c r="D18" s="188" t="str">
        <f t="shared" si="0"/>
        <v/>
      </c>
      <c r="E18" s="188" t="str">
        <f t="shared" si="1"/>
        <v/>
      </c>
      <c r="F18" s="188" t="str">
        <f t="shared" si="2"/>
        <v/>
      </c>
      <c r="G18" s="188" t="str">
        <f t="shared" si="3"/>
        <v/>
      </c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</row>
    <row r="19" spans="1:67" ht="15.75">
      <c r="A19" s="162"/>
      <c r="B19" s="191"/>
      <c r="C19" s="191"/>
      <c r="D19" s="188" t="str">
        <f t="shared" si="0"/>
        <v/>
      </c>
      <c r="E19" s="188" t="str">
        <f t="shared" si="1"/>
        <v/>
      </c>
      <c r="F19" s="188" t="str">
        <f t="shared" si="2"/>
        <v/>
      </c>
      <c r="G19" s="188" t="str">
        <f t="shared" si="3"/>
        <v/>
      </c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8"/>
      <c r="AE19" s="188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</row>
    <row r="20" spans="1:67" ht="15" thickBot="1">
      <c r="B20" s="192"/>
      <c r="C20" s="192"/>
      <c r="D20" s="193"/>
      <c r="E20" s="193"/>
      <c r="F20" s="193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</row>
    <row r="21" spans="1:67" ht="18.75" thickBot="1">
      <c r="A21" s="176"/>
      <c r="B21" s="633" t="s">
        <v>7</v>
      </c>
      <c r="C21" s="634"/>
      <c r="D21" s="183">
        <f>SUM($D$6:$D$20)</f>
        <v>315</v>
      </c>
      <c r="E21" s="183">
        <f t="shared" ref="E21:AU21" si="4">SUM(E6:E20)</f>
        <v>466.7</v>
      </c>
      <c r="F21" s="184">
        <f t="shared" si="4"/>
        <v>20</v>
      </c>
      <c r="G21" s="184">
        <f t="shared" si="4"/>
        <v>51.3</v>
      </c>
      <c r="H21" s="185">
        <f t="shared" si="4"/>
        <v>315</v>
      </c>
      <c r="I21" s="186">
        <f t="shared" si="4"/>
        <v>466.7</v>
      </c>
      <c r="J21" s="186">
        <f t="shared" si="4"/>
        <v>12</v>
      </c>
      <c r="K21" s="186">
        <f t="shared" si="4"/>
        <v>35.5</v>
      </c>
      <c r="L21" s="186">
        <f t="shared" si="4"/>
        <v>0</v>
      </c>
      <c r="M21" s="186">
        <f t="shared" si="4"/>
        <v>0</v>
      </c>
      <c r="N21" s="186">
        <f t="shared" si="4"/>
        <v>0</v>
      </c>
      <c r="O21" s="186">
        <f t="shared" si="4"/>
        <v>0</v>
      </c>
      <c r="P21" s="186">
        <f t="shared" si="4"/>
        <v>0</v>
      </c>
      <c r="Q21" s="186">
        <f t="shared" si="4"/>
        <v>0</v>
      </c>
      <c r="R21" s="186">
        <f t="shared" si="4"/>
        <v>8</v>
      </c>
      <c r="S21" s="186">
        <f t="shared" si="4"/>
        <v>15.8</v>
      </c>
      <c r="T21" s="186">
        <f t="shared" si="4"/>
        <v>0</v>
      </c>
      <c r="U21" s="186">
        <f t="shared" si="4"/>
        <v>0</v>
      </c>
      <c r="V21" s="186">
        <f t="shared" si="4"/>
        <v>0</v>
      </c>
      <c r="W21" s="186">
        <f t="shared" si="4"/>
        <v>0</v>
      </c>
      <c r="X21" s="186">
        <f t="shared" si="4"/>
        <v>0</v>
      </c>
      <c r="Y21" s="186">
        <f t="shared" si="4"/>
        <v>0</v>
      </c>
      <c r="Z21" s="186">
        <f t="shared" si="4"/>
        <v>0</v>
      </c>
      <c r="AA21" s="186">
        <f t="shared" si="4"/>
        <v>0</v>
      </c>
      <c r="AB21" s="186">
        <f t="shared" si="4"/>
        <v>0</v>
      </c>
      <c r="AC21" s="186">
        <f t="shared" si="4"/>
        <v>0</v>
      </c>
      <c r="AD21" s="186">
        <f t="shared" si="4"/>
        <v>0</v>
      </c>
      <c r="AE21" s="186">
        <f t="shared" si="4"/>
        <v>0</v>
      </c>
      <c r="AF21" s="186">
        <f t="shared" si="4"/>
        <v>0</v>
      </c>
      <c r="AG21" s="186">
        <f t="shared" si="4"/>
        <v>0</v>
      </c>
      <c r="AH21" s="186">
        <f t="shared" si="4"/>
        <v>0</v>
      </c>
      <c r="AI21" s="186">
        <f t="shared" si="4"/>
        <v>0</v>
      </c>
      <c r="AJ21" s="186">
        <f t="shared" si="4"/>
        <v>0</v>
      </c>
      <c r="AK21" s="186">
        <f t="shared" si="4"/>
        <v>0</v>
      </c>
      <c r="AL21" s="186">
        <f t="shared" si="4"/>
        <v>0</v>
      </c>
      <c r="AM21" s="186">
        <f t="shared" si="4"/>
        <v>0</v>
      </c>
      <c r="AN21" s="186">
        <f t="shared" si="4"/>
        <v>0</v>
      </c>
      <c r="AO21" s="186">
        <f t="shared" si="4"/>
        <v>0</v>
      </c>
      <c r="AP21" s="186">
        <f t="shared" si="4"/>
        <v>0</v>
      </c>
      <c r="AQ21" s="186">
        <f t="shared" si="4"/>
        <v>0</v>
      </c>
      <c r="AR21" s="186">
        <f t="shared" si="4"/>
        <v>0</v>
      </c>
      <c r="AS21" s="186">
        <f t="shared" si="4"/>
        <v>0</v>
      </c>
      <c r="AT21" s="186">
        <f t="shared" si="4"/>
        <v>0</v>
      </c>
      <c r="AU21" s="186">
        <f t="shared" si="4"/>
        <v>0</v>
      </c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</row>
  </sheetData>
  <mergeCells count="18">
    <mergeCell ref="AV4:AY4"/>
    <mergeCell ref="AZ4:BC4"/>
    <mergeCell ref="BD4:BG4"/>
    <mergeCell ref="BH4:BK4"/>
    <mergeCell ref="BL4:BO4"/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</mergeCells>
  <conditionalFormatting sqref="H11:AU19 H7:BO10">
    <cfRule type="cellIs" dxfId="5" priority="15" operator="equal">
      <formula>0</formula>
    </cfRule>
  </conditionalFormatting>
  <conditionalFormatting sqref="AV11:AY19">
    <cfRule type="cellIs" dxfId="4" priority="5" operator="equal">
      <formula>0</formula>
    </cfRule>
  </conditionalFormatting>
  <conditionalFormatting sqref="AZ11:BC19">
    <cfRule type="cellIs" dxfId="3" priority="4" operator="equal">
      <formula>0</formula>
    </cfRule>
  </conditionalFormatting>
  <conditionalFormatting sqref="BD11:BG19">
    <cfRule type="cellIs" dxfId="2" priority="3" operator="equal">
      <formula>0</formula>
    </cfRule>
  </conditionalFormatting>
  <conditionalFormatting sqref="BH11:BK19">
    <cfRule type="cellIs" dxfId="1" priority="2" operator="equal">
      <formula>0</formula>
    </cfRule>
  </conditionalFormatting>
  <conditionalFormatting sqref="BL11:BO1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U46" sqref="U45:U46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1" t="s">
        <v>67</v>
      </c>
      <c r="F5" s="642"/>
      <c r="G5" s="642"/>
      <c r="H5" s="642"/>
      <c r="I5" s="642"/>
      <c r="J5" s="642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3"/>
      <c r="F6" s="644"/>
      <c r="G6" s="644"/>
      <c r="H6" s="644"/>
      <c r="I6" s="644"/>
      <c r="J6" s="644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45" t="s">
        <v>70</v>
      </c>
      <c r="F8" s="646"/>
      <c r="G8" s="646"/>
      <c r="H8" s="646"/>
      <c r="I8" s="646"/>
      <c r="J8" s="647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48"/>
      <c r="F9" s="649"/>
      <c r="G9" s="649"/>
      <c r="H9" s="649"/>
      <c r="I9" s="649"/>
      <c r="J9" s="650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1">
        <v>10.08</v>
      </c>
      <c r="F23" s="651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27"/>
  <sheetViews>
    <sheetView topLeftCell="B1" zoomScale="85" zoomScaleNormal="85" workbookViewId="0">
      <selection activeCell="M16" sqref="M16"/>
    </sheetView>
  </sheetViews>
  <sheetFormatPr defaultRowHeight="12.75"/>
  <cols>
    <col min="1" max="1" width="2" style="137" hidden="1" customWidth="1"/>
    <col min="2" max="2" width="4.7109375" style="137" customWidth="1"/>
    <col min="3" max="3" width="16.7109375" style="137" customWidth="1"/>
    <col min="4" max="4" width="28" style="137" customWidth="1"/>
    <col min="5" max="5" width="28.7109375" style="137" customWidth="1"/>
    <col min="6" max="6" width="22.85546875" style="137" customWidth="1"/>
    <col min="7" max="7" width="12" style="137" customWidth="1"/>
    <col min="8" max="8" width="15.5703125" style="137" customWidth="1"/>
    <col min="9" max="256" width="9.140625" style="137"/>
    <col min="257" max="257" width="0" style="137" hidden="1" customWidth="1"/>
    <col min="258" max="258" width="4.7109375" style="137" customWidth="1"/>
    <col min="259" max="259" width="16.7109375" style="137" customWidth="1"/>
    <col min="260" max="260" width="28" style="137" customWidth="1"/>
    <col min="261" max="261" width="28.7109375" style="137" customWidth="1"/>
    <col min="262" max="262" width="22.85546875" style="137" customWidth="1"/>
    <col min="263" max="263" width="12" style="137" customWidth="1"/>
    <col min="264" max="264" width="15.5703125" style="137" customWidth="1"/>
    <col min="265" max="512" width="9.140625" style="137"/>
    <col min="513" max="513" width="0" style="137" hidden="1" customWidth="1"/>
    <col min="514" max="514" width="4.7109375" style="137" customWidth="1"/>
    <col min="515" max="515" width="16.7109375" style="137" customWidth="1"/>
    <col min="516" max="516" width="28" style="137" customWidth="1"/>
    <col min="517" max="517" width="28.7109375" style="137" customWidth="1"/>
    <col min="518" max="518" width="22.85546875" style="137" customWidth="1"/>
    <col min="519" max="519" width="12" style="137" customWidth="1"/>
    <col min="520" max="520" width="15.5703125" style="137" customWidth="1"/>
    <col min="521" max="768" width="9.140625" style="137"/>
    <col min="769" max="769" width="0" style="137" hidden="1" customWidth="1"/>
    <col min="770" max="770" width="4.7109375" style="137" customWidth="1"/>
    <col min="771" max="771" width="16.7109375" style="137" customWidth="1"/>
    <col min="772" max="772" width="28" style="137" customWidth="1"/>
    <col min="773" max="773" width="28.7109375" style="137" customWidth="1"/>
    <col min="774" max="774" width="22.85546875" style="137" customWidth="1"/>
    <col min="775" max="775" width="12" style="137" customWidth="1"/>
    <col min="776" max="776" width="15.5703125" style="137" customWidth="1"/>
    <col min="777" max="1024" width="9.140625" style="137"/>
    <col min="1025" max="1025" width="0" style="137" hidden="1" customWidth="1"/>
    <col min="1026" max="1026" width="4.7109375" style="137" customWidth="1"/>
    <col min="1027" max="1027" width="16.7109375" style="137" customWidth="1"/>
    <col min="1028" max="1028" width="28" style="137" customWidth="1"/>
    <col min="1029" max="1029" width="28.7109375" style="137" customWidth="1"/>
    <col min="1030" max="1030" width="22.85546875" style="137" customWidth="1"/>
    <col min="1031" max="1031" width="12" style="137" customWidth="1"/>
    <col min="1032" max="1032" width="15.5703125" style="137" customWidth="1"/>
    <col min="1033" max="1280" width="9.140625" style="137"/>
    <col min="1281" max="1281" width="0" style="137" hidden="1" customWidth="1"/>
    <col min="1282" max="1282" width="4.7109375" style="137" customWidth="1"/>
    <col min="1283" max="1283" width="16.7109375" style="137" customWidth="1"/>
    <col min="1284" max="1284" width="28" style="137" customWidth="1"/>
    <col min="1285" max="1285" width="28.7109375" style="137" customWidth="1"/>
    <col min="1286" max="1286" width="22.85546875" style="137" customWidth="1"/>
    <col min="1287" max="1287" width="12" style="137" customWidth="1"/>
    <col min="1288" max="1288" width="15.5703125" style="137" customWidth="1"/>
    <col min="1289" max="1536" width="9.140625" style="137"/>
    <col min="1537" max="1537" width="0" style="137" hidden="1" customWidth="1"/>
    <col min="1538" max="1538" width="4.7109375" style="137" customWidth="1"/>
    <col min="1539" max="1539" width="16.7109375" style="137" customWidth="1"/>
    <col min="1540" max="1540" width="28" style="137" customWidth="1"/>
    <col min="1541" max="1541" width="28.7109375" style="137" customWidth="1"/>
    <col min="1542" max="1542" width="22.85546875" style="137" customWidth="1"/>
    <col min="1543" max="1543" width="12" style="137" customWidth="1"/>
    <col min="1544" max="1544" width="15.5703125" style="137" customWidth="1"/>
    <col min="1545" max="1792" width="9.140625" style="137"/>
    <col min="1793" max="1793" width="0" style="137" hidden="1" customWidth="1"/>
    <col min="1794" max="1794" width="4.7109375" style="137" customWidth="1"/>
    <col min="1795" max="1795" width="16.7109375" style="137" customWidth="1"/>
    <col min="1796" max="1796" width="28" style="137" customWidth="1"/>
    <col min="1797" max="1797" width="28.7109375" style="137" customWidth="1"/>
    <col min="1798" max="1798" width="22.85546875" style="137" customWidth="1"/>
    <col min="1799" max="1799" width="12" style="137" customWidth="1"/>
    <col min="1800" max="1800" width="15.5703125" style="137" customWidth="1"/>
    <col min="1801" max="2048" width="9.140625" style="137"/>
    <col min="2049" max="2049" width="0" style="137" hidden="1" customWidth="1"/>
    <col min="2050" max="2050" width="4.7109375" style="137" customWidth="1"/>
    <col min="2051" max="2051" width="16.7109375" style="137" customWidth="1"/>
    <col min="2052" max="2052" width="28" style="137" customWidth="1"/>
    <col min="2053" max="2053" width="28.7109375" style="137" customWidth="1"/>
    <col min="2054" max="2054" width="22.85546875" style="137" customWidth="1"/>
    <col min="2055" max="2055" width="12" style="137" customWidth="1"/>
    <col min="2056" max="2056" width="15.5703125" style="137" customWidth="1"/>
    <col min="2057" max="2304" width="9.140625" style="137"/>
    <col min="2305" max="2305" width="0" style="137" hidden="1" customWidth="1"/>
    <col min="2306" max="2306" width="4.7109375" style="137" customWidth="1"/>
    <col min="2307" max="2307" width="16.7109375" style="137" customWidth="1"/>
    <col min="2308" max="2308" width="28" style="137" customWidth="1"/>
    <col min="2309" max="2309" width="28.7109375" style="137" customWidth="1"/>
    <col min="2310" max="2310" width="22.85546875" style="137" customWidth="1"/>
    <col min="2311" max="2311" width="12" style="137" customWidth="1"/>
    <col min="2312" max="2312" width="15.5703125" style="137" customWidth="1"/>
    <col min="2313" max="2560" width="9.140625" style="137"/>
    <col min="2561" max="2561" width="0" style="137" hidden="1" customWidth="1"/>
    <col min="2562" max="2562" width="4.7109375" style="137" customWidth="1"/>
    <col min="2563" max="2563" width="16.7109375" style="137" customWidth="1"/>
    <col min="2564" max="2564" width="28" style="137" customWidth="1"/>
    <col min="2565" max="2565" width="28.7109375" style="137" customWidth="1"/>
    <col min="2566" max="2566" width="22.85546875" style="137" customWidth="1"/>
    <col min="2567" max="2567" width="12" style="137" customWidth="1"/>
    <col min="2568" max="2568" width="15.5703125" style="137" customWidth="1"/>
    <col min="2569" max="2816" width="9.140625" style="137"/>
    <col min="2817" max="2817" width="0" style="137" hidden="1" customWidth="1"/>
    <col min="2818" max="2818" width="4.7109375" style="137" customWidth="1"/>
    <col min="2819" max="2819" width="16.7109375" style="137" customWidth="1"/>
    <col min="2820" max="2820" width="28" style="137" customWidth="1"/>
    <col min="2821" max="2821" width="28.7109375" style="137" customWidth="1"/>
    <col min="2822" max="2822" width="22.85546875" style="137" customWidth="1"/>
    <col min="2823" max="2823" width="12" style="137" customWidth="1"/>
    <col min="2824" max="2824" width="15.5703125" style="137" customWidth="1"/>
    <col min="2825" max="3072" width="9.140625" style="137"/>
    <col min="3073" max="3073" width="0" style="137" hidden="1" customWidth="1"/>
    <col min="3074" max="3074" width="4.7109375" style="137" customWidth="1"/>
    <col min="3075" max="3075" width="16.7109375" style="137" customWidth="1"/>
    <col min="3076" max="3076" width="28" style="137" customWidth="1"/>
    <col min="3077" max="3077" width="28.7109375" style="137" customWidth="1"/>
    <col min="3078" max="3078" width="22.85546875" style="137" customWidth="1"/>
    <col min="3079" max="3079" width="12" style="137" customWidth="1"/>
    <col min="3080" max="3080" width="15.5703125" style="137" customWidth="1"/>
    <col min="3081" max="3328" width="9.140625" style="137"/>
    <col min="3329" max="3329" width="0" style="137" hidden="1" customWidth="1"/>
    <col min="3330" max="3330" width="4.7109375" style="137" customWidth="1"/>
    <col min="3331" max="3331" width="16.7109375" style="137" customWidth="1"/>
    <col min="3332" max="3332" width="28" style="137" customWidth="1"/>
    <col min="3333" max="3333" width="28.7109375" style="137" customWidth="1"/>
    <col min="3334" max="3334" width="22.85546875" style="137" customWidth="1"/>
    <col min="3335" max="3335" width="12" style="137" customWidth="1"/>
    <col min="3336" max="3336" width="15.5703125" style="137" customWidth="1"/>
    <col min="3337" max="3584" width="9.140625" style="137"/>
    <col min="3585" max="3585" width="0" style="137" hidden="1" customWidth="1"/>
    <col min="3586" max="3586" width="4.7109375" style="137" customWidth="1"/>
    <col min="3587" max="3587" width="16.7109375" style="137" customWidth="1"/>
    <col min="3588" max="3588" width="28" style="137" customWidth="1"/>
    <col min="3589" max="3589" width="28.7109375" style="137" customWidth="1"/>
    <col min="3590" max="3590" width="22.85546875" style="137" customWidth="1"/>
    <col min="3591" max="3591" width="12" style="137" customWidth="1"/>
    <col min="3592" max="3592" width="15.5703125" style="137" customWidth="1"/>
    <col min="3593" max="3840" width="9.140625" style="137"/>
    <col min="3841" max="3841" width="0" style="137" hidden="1" customWidth="1"/>
    <col min="3842" max="3842" width="4.7109375" style="137" customWidth="1"/>
    <col min="3843" max="3843" width="16.7109375" style="137" customWidth="1"/>
    <col min="3844" max="3844" width="28" style="137" customWidth="1"/>
    <col min="3845" max="3845" width="28.7109375" style="137" customWidth="1"/>
    <col min="3846" max="3846" width="22.85546875" style="137" customWidth="1"/>
    <col min="3847" max="3847" width="12" style="137" customWidth="1"/>
    <col min="3848" max="3848" width="15.5703125" style="137" customWidth="1"/>
    <col min="3849" max="4096" width="9.140625" style="137"/>
    <col min="4097" max="4097" width="0" style="137" hidden="1" customWidth="1"/>
    <col min="4098" max="4098" width="4.7109375" style="137" customWidth="1"/>
    <col min="4099" max="4099" width="16.7109375" style="137" customWidth="1"/>
    <col min="4100" max="4100" width="28" style="137" customWidth="1"/>
    <col min="4101" max="4101" width="28.7109375" style="137" customWidth="1"/>
    <col min="4102" max="4102" width="22.85546875" style="137" customWidth="1"/>
    <col min="4103" max="4103" width="12" style="137" customWidth="1"/>
    <col min="4104" max="4104" width="15.5703125" style="137" customWidth="1"/>
    <col min="4105" max="4352" width="9.140625" style="137"/>
    <col min="4353" max="4353" width="0" style="137" hidden="1" customWidth="1"/>
    <col min="4354" max="4354" width="4.7109375" style="137" customWidth="1"/>
    <col min="4355" max="4355" width="16.7109375" style="137" customWidth="1"/>
    <col min="4356" max="4356" width="28" style="137" customWidth="1"/>
    <col min="4357" max="4357" width="28.7109375" style="137" customWidth="1"/>
    <col min="4358" max="4358" width="22.85546875" style="137" customWidth="1"/>
    <col min="4359" max="4359" width="12" style="137" customWidth="1"/>
    <col min="4360" max="4360" width="15.5703125" style="137" customWidth="1"/>
    <col min="4361" max="4608" width="9.140625" style="137"/>
    <col min="4609" max="4609" width="0" style="137" hidden="1" customWidth="1"/>
    <col min="4610" max="4610" width="4.7109375" style="137" customWidth="1"/>
    <col min="4611" max="4611" width="16.7109375" style="137" customWidth="1"/>
    <col min="4612" max="4612" width="28" style="137" customWidth="1"/>
    <col min="4613" max="4613" width="28.7109375" style="137" customWidth="1"/>
    <col min="4614" max="4614" width="22.85546875" style="137" customWidth="1"/>
    <col min="4615" max="4615" width="12" style="137" customWidth="1"/>
    <col min="4616" max="4616" width="15.5703125" style="137" customWidth="1"/>
    <col min="4617" max="4864" width="9.140625" style="137"/>
    <col min="4865" max="4865" width="0" style="137" hidden="1" customWidth="1"/>
    <col min="4866" max="4866" width="4.7109375" style="137" customWidth="1"/>
    <col min="4867" max="4867" width="16.7109375" style="137" customWidth="1"/>
    <col min="4868" max="4868" width="28" style="137" customWidth="1"/>
    <col min="4869" max="4869" width="28.7109375" style="137" customWidth="1"/>
    <col min="4870" max="4870" width="22.85546875" style="137" customWidth="1"/>
    <col min="4871" max="4871" width="12" style="137" customWidth="1"/>
    <col min="4872" max="4872" width="15.5703125" style="137" customWidth="1"/>
    <col min="4873" max="5120" width="9.140625" style="137"/>
    <col min="5121" max="5121" width="0" style="137" hidden="1" customWidth="1"/>
    <col min="5122" max="5122" width="4.7109375" style="137" customWidth="1"/>
    <col min="5123" max="5123" width="16.7109375" style="137" customWidth="1"/>
    <col min="5124" max="5124" width="28" style="137" customWidth="1"/>
    <col min="5125" max="5125" width="28.7109375" style="137" customWidth="1"/>
    <col min="5126" max="5126" width="22.85546875" style="137" customWidth="1"/>
    <col min="5127" max="5127" width="12" style="137" customWidth="1"/>
    <col min="5128" max="5128" width="15.5703125" style="137" customWidth="1"/>
    <col min="5129" max="5376" width="9.140625" style="137"/>
    <col min="5377" max="5377" width="0" style="137" hidden="1" customWidth="1"/>
    <col min="5378" max="5378" width="4.7109375" style="137" customWidth="1"/>
    <col min="5379" max="5379" width="16.7109375" style="137" customWidth="1"/>
    <col min="5380" max="5380" width="28" style="137" customWidth="1"/>
    <col min="5381" max="5381" width="28.7109375" style="137" customWidth="1"/>
    <col min="5382" max="5382" width="22.85546875" style="137" customWidth="1"/>
    <col min="5383" max="5383" width="12" style="137" customWidth="1"/>
    <col min="5384" max="5384" width="15.5703125" style="137" customWidth="1"/>
    <col min="5385" max="5632" width="9.140625" style="137"/>
    <col min="5633" max="5633" width="0" style="137" hidden="1" customWidth="1"/>
    <col min="5634" max="5634" width="4.7109375" style="137" customWidth="1"/>
    <col min="5635" max="5635" width="16.7109375" style="137" customWidth="1"/>
    <col min="5636" max="5636" width="28" style="137" customWidth="1"/>
    <col min="5637" max="5637" width="28.7109375" style="137" customWidth="1"/>
    <col min="5638" max="5638" width="22.85546875" style="137" customWidth="1"/>
    <col min="5639" max="5639" width="12" style="137" customWidth="1"/>
    <col min="5640" max="5640" width="15.5703125" style="137" customWidth="1"/>
    <col min="5641" max="5888" width="9.140625" style="137"/>
    <col min="5889" max="5889" width="0" style="137" hidden="1" customWidth="1"/>
    <col min="5890" max="5890" width="4.7109375" style="137" customWidth="1"/>
    <col min="5891" max="5891" width="16.7109375" style="137" customWidth="1"/>
    <col min="5892" max="5892" width="28" style="137" customWidth="1"/>
    <col min="5893" max="5893" width="28.7109375" style="137" customWidth="1"/>
    <col min="5894" max="5894" width="22.85546875" style="137" customWidth="1"/>
    <col min="5895" max="5895" width="12" style="137" customWidth="1"/>
    <col min="5896" max="5896" width="15.5703125" style="137" customWidth="1"/>
    <col min="5897" max="6144" width="9.140625" style="137"/>
    <col min="6145" max="6145" width="0" style="137" hidden="1" customWidth="1"/>
    <col min="6146" max="6146" width="4.7109375" style="137" customWidth="1"/>
    <col min="6147" max="6147" width="16.7109375" style="137" customWidth="1"/>
    <col min="6148" max="6148" width="28" style="137" customWidth="1"/>
    <col min="6149" max="6149" width="28.7109375" style="137" customWidth="1"/>
    <col min="6150" max="6150" width="22.85546875" style="137" customWidth="1"/>
    <col min="6151" max="6151" width="12" style="137" customWidth="1"/>
    <col min="6152" max="6152" width="15.5703125" style="137" customWidth="1"/>
    <col min="6153" max="6400" width="9.140625" style="137"/>
    <col min="6401" max="6401" width="0" style="137" hidden="1" customWidth="1"/>
    <col min="6402" max="6402" width="4.7109375" style="137" customWidth="1"/>
    <col min="6403" max="6403" width="16.7109375" style="137" customWidth="1"/>
    <col min="6404" max="6404" width="28" style="137" customWidth="1"/>
    <col min="6405" max="6405" width="28.7109375" style="137" customWidth="1"/>
    <col min="6406" max="6406" width="22.85546875" style="137" customWidth="1"/>
    <col min="6407" max="6407" width="12" style="137" customWidth="1"/>
    <col min="6408" max="6408" width="15.5703125" style="137" customWidth="1"/>
    <col min="6409" max="6656" width="9.140625" style="137"/>
    <col min="6657" max="6657" width="0" style="137" hidden="1" customWidth="1"/>
    <col min="6658" max="6658" width="4.7109375" style="137" customWidth="1"/>
    <col min="6659" max="6659" width="16.7109375" style="137" customWidth="1"/>
    <col min="6660" max="6660" width="28" style="137" customWidth="1"/>
    <col min="6661" max="6661" width="28.7109375" style="137" customWidth="1"/>
    <col min="6662" max="6662" width="22.85546875" style="137" customWidth="1"/>
    <col min="6663" max="6663" width="12" style="137" customWidth="1"/>
    <col min="6664" max="6664" width="15.5703125" style="137" customWidth="1"/>
    <col min="6665" max="6912" width="9.140625" style="137"/>
    <col min="6913" max="6913" width="0" style="137" hidden="1" customWidth="1"/>
    <col min="6914" max="6914" width="4.7109375" style="137" customWidth="1"/>
    <col min="6915" max="6915" width="16.7109375" style="137" customWidth="1"/>
    <col min="6916" max="6916" width="28" style="137" customWidth="1"/>
    <col min="6917" max="6917" width="28.7109375" style="137" customWidth="1"/>
    <col min="6918" max="6918" width="22.85546875" style="137" customWidth="1"/>
    <col min="6919" max="6919" width="12" style="137" customWidth="1"/>
    <col min="6920" max="6920" width="15.5703125" style="137" customWidth="1"/>
    <col min="6921" max="7168" width="9.140625" style="137"/>
    <col min="7169" max="7169" width="0" style="137" hidden="1" customWidth="1"/>
    <col min="7170" max="7170" width="4.7109375" style="137" customWidth="1"/>
    <col min="7171" max="7171" width="16.7109375" style="137" customWidth="1"/>
    <col min="7172" max="7172" width="28" style="137" customWidth="1"/>
    <col min="7173" max="7173" width="28.7109375" style="137" customWidth="1"/>
    <col min="7174" max="7174" width="22.85546875" style="137" customWidth="1"/>
    <col min="7175" max="7175" width="12" style="137" customWidth="1"/>
    <col min="7176" max="7176" width="15.5703125" style="137" customWidth="1"/>
    <col min="7177" max="7424" width="9.140625" style="137"/>
    <col min="7425" max="7425" width="0" style="137" hidden="1" customWidth="1"/>
    <col min="7426" max="7426" width="4.7109375" style="137" customWidth="1"/>
    <col min="7427" max="7427" width="16.7109375" style="137" customWidth="1"/>
    <col min="7428" max="7428" width="28" style="137" customWidth="1"/>
    <col min="7429" max="7429" width="28.7109375" style="137" customWidth="1"/>
    <col min="7430" max="7430" width="22.85546875" style="137" customWidth="1"/>
    <col min="7431" max="7431" width="12" style="137" customWidth="1"/>
    <col min="7432" max="7432" width="15.5703125" style="137" customWidth="1"/>
    <col min="7433" max="7680" width="9.140625" style="137"/>
    <col min="7681" max="7681" width="0" style="137" hidden="1" customWidth="1"/>
    <col min="7682" max="7682" width="4.7109375" style="137" customWidth="1"/>
    <col min="7683" max="7683" width="16.7109375" style="137" customWidth="1"/>
    <col min="7684" max="7684" width="28" style="137" customWidth="1"/>
    <col min="7685" max="7685" width="28.7109375" style="137" customWidth="1"/>
    <col min="7686" max="7686" width="22.85546875" style="137" customWidth="1"/>
    <col min="7687" max="7687" width="12" style="137" customWidth="1"/>
    <col min="7688" max="7688" width="15.5703125" style="137" customWidth="1"/>
    <col min="7689" max="7936" width="9.140625" style="137"/>
    <col min="7937" max="7937" width="0" style="137" hidden="1" customWidth="1"/>
    <col min="7938" max="7938" width="4.7109375" style="137" customWidth="1"/>
    <col min="7939" max="7939" width="16.7109375" style="137" customWidth="1"/>
    <col min="7940" max="7940" width="28" style="137" customWidth="1"/>
    <col min="7941" max="7941" width="28.7109375" style="137" customWidth="1"/>
    <col min="7942" max="7942" width="22.85546875" style="137" customWidth="1"/>
    <col min="7943" max="7943" width="12" style="137" customWidth="1"/>
    <col min="7944" max="7944" width="15.5703125" style="137" customWidth="1"/>
    <col min="7945" max="8192" width="9.140625" style="137"/>
    <col min="8193" max="8193" width="0" style="137" hidden="1" customWidth="1"/>
    <col min="8194" max="8194" width="4.7109375" style="137" customWidth="1"/>
    <col min="8195" max="8195" width="16.7109375" style="137" customWidth="1"/>
    <col min="8196" max="8196" width="28" style="137" customWidth="1"/>
    <col min="8197" max="8197" width="28.7109375" style="137" customWidth="1"/>
    <col min="8198" max="8198" width="22.85546875" style="137" customWidth="1"/>
    <col min="8199" max="8199" width="12" style="137" customWidth="1"/>
    <col min="8200" max="8200" width="15.5703125" style="137" customWidth="1"/>
    <col min="8201" max="8448" width="9.140625" style="137"/>
    <col min="8449" max="8449" width="0" style="137" hidden="1" customWidth="1"/>
    <col min="8450" max="8450" width="4.7109375" style="137" customWidth="1"/>
    <col min="8451" max="8451" width="16.7109375" style="137" customWidth="1"/>
    <col min="8452" max="8452" width="28" style="137" customWidth="1"/>
    <col min="8453" max="8453" width="28.7109375" style="137" customWidth="1"/>
    <col min="8454" max="8454" width="22.85546875" style="137" customWidth="1"/>
    <col min="8455" max="8455" width="12" style="137" customWidth="1"/>
    <col min="8456" max="8456" width="15.5703125" style="137" customWidth="1"/>
    <col min="8457" max="8704" width="9.140625" style="137"/>
    <col min="8705" max="8705" width="0" style="137" hidden="1" customWidth="1"/>
    <col min="8706" max="8706" width="4.7109375" style="137" customWidth="1"/>
    <col min="8707" max="8707" width="16.7109375" style="137" customWidth="1"/>
    <col min="8708" max="8708" width="28" style="137" customWidth="1"/>
    <col min="8709" max="8709" width="28.7109375" style="137" customWidth="1"/>
    <col min="8710" max="8710" width="22.85546875" style="137" customWidth="1"/>
    <col min="8711" max="8711" width="12" style="137" customWidth="1"/>
    <col min="8712" max="8712" width="15.5703125" style="137" customWidth="1"/>
    <col min="8713" max="8960" width="9.140625" style="137"/>
    <col min="8961" max="8961" width="0" style="137" hidden="1" customWidth="1"/>
    <col min="8962" max="8962" width="4.7109375" style="137" customWidth="1"/>
    <col min="8963" max="8963" width="16.7109375" style="137" customWidth="1"/>
    <col min="8964" max="8964" width="28" style="137" customWidth="1"/>
    <col min="8965" max="8965" width="28.7109375" style="137" customWidth="1"/>
    <col min="8966" max="8966" width="22.85546875" style="137" customWidth="1"/>
    <col min="8967" max="8967" width="12" style="137" customWidth="1"/>
    <col min="8968" max="8968" width="15.5703125" style="137" customWidth="1"/>
    <col min="8969" max="9216" width="9.140625" style="137"/>
    <col min="9217" max="9217" width="0" style="137" hidden="1" customWidth="1"/>
    <col min="9218" max="9218" width="4.7109375" style="137" customWidth="1"/>
    <col min="9219" max="9219" width="16.7109375" style="137" customWidth="1"/>
    <col min="9220" max="9220" width="28" style="137" customWidth="1"/>
    <col min="9221" max="9221" width="28.7109375" style="137" customWidth="1"/>
    <col min="9222" max="9222" width="22.85546875" style="137" customWidth="1"/>
    <col min="9223" max="9223" width="12" style="137" customWidth="1"/>
    <col min="9224" max="9224" width="15.5703125" style="137" customWidth="1"/>
    <col min="9225" max="9472" width="9.140625" style="137"/>
    <col min="9473" max="9473" width="0" style="137" hidden="1" customWidth="1"/>
    <col min="9474" max="9474" width="4.7109375" style="137" customWidth="1"/>
    <col min="9475" max="9475" width="16.7109375" style="137" customWidth="1"/>
    <col min="9476" max="9476" width="28" style="137" customWidth="1"/>
    <col min="9477" max="9477" width="28.7109375" style="137" customWidth="1"/>
    <col min="9478" max="9478" width="22.85546875" style="137" customWidth="1"/>
    <col min="9479" max="9479" width="12" style="137" customWidth="1"/>
    <col min="9480" max="9480" width="15.5703125" style="137" customWidth="1"/>
    <col min="9481" max="9728" width="9.140625" style="137"/>
    <col min="9729" max="9729" width="0" style="137" hidden="1" customWidth="1"/>
    <col min="9730" max="9730" width="4.7109375" style="137" customWidth="1"/>
    <col min="9731" max="9731" width="16.7109375" style="137" customWidth="1"/>
    <col min="9732" max="9732" width="28" style="137" customWidth="1"/>
    <col min="9733" max="9733" width="28.7109375" style="137" customWidth="1"/>
    <col min="9734" max="9734" width="22.85546875" style="137" customWidth="1"/>
    <col min="9735" max="9735" width="12" style="137" customWidth="1"/>
    <col min="9736" max="9736" width="15.5703125" style="137" customWidth="1"/>
    <col min="9737" max="9984" width="9.140625" style="137"/>
    <col min="9985" max="9985" width="0" style="137" hidden="1" customWidth="1"/>
    <col min="9986" max="9986" width="4.7109375" style="137" customWidth="1"/>
    <col min="9987" max="9987" width="16.7109375" style="137" customWidth="1"/>
    <col min="9988" max="9988" width="28" style="137" customWidth="1"/>
    <col min="9989" max="9989" width="28.7109375" style="137" customWidth="1"/>
    <col min="9990" max="9990" width="22.85546875" style="137" customWidth="1"/>
    <col min="9991" max="9991" width="12" style="137" customWidth="1"/>
    <col min="9992" max="9992" width="15.5703125" style="137" customWidth="1"/>
    <col min="9993" max="10240" width="9.140625" style="137"/>
    <col min="10241" max="10241" width="0" style="137" hidden="1" customWidth="1"/>
    <col min="10242" max="10242" width="4.7109375" style="137" customWidth="1"/>
    <col min="10243" max="10243" width="16.7109375" style="137" customWidth="1"/>
    <col min="10244" max="10244" width="28" style="137" customWidth="1"/>
    <col min="10245" max="10245" width="28.7109375" style="137" customWidth="1"/>
    <col min="10246" max="10246" width="22.85546875" style="137" customWidth="1"/>
    <col min="10247" max="10247" width="12" style="137" customWidth="1"/>
    <col min="10248" max="10248" width="15.5703125" style="137" customWidth="1"/>
    <col min="10249" max="10496" width="9.140625" style="137"/>
    <col min="10497" max="10497" width="0" style="137" hidden="1" customWidth="1"/>
    <col min="10498" max="10498" width="4.7109375" style="137" customWidth="1"/>
    <col min="10499" max="10499" width="16.7109375" style="137" customWidth="1"/>
    <col min="10500" max="10500" width="28" style="137" customWidth="1"/>
    <col min="10501" max="10501" width="28.7109375" style="137" customWidth="1"/>
    <col min="10502" max="10502" width="22.85546875" style="137" customWidth="1"/>
    <col min="10503" max="10503" width="12" style="137" customWidth="1"/>
    <col min="10504" max="10504" width="15.5703125" style="137" customWidth="1"/>
    <col min="10505" max="10752" width="9.140625" style="137"/>
    <col min="10753" max="10753" width="0" style="137" hidden="1" customWidth="1"/>
    <col min="10754" max="10754" width="4.7109375" style="137" customWidth="1"/>
    <col min="10755" max="10755" width="16.7109375" style="137" customWidth="1"/>
    <col min="10756" max="10756" width="28" style="137" customWidth="1"/>
    <col min="10757" max="10757" width="28.7109375" style="137" customWidth="1"/>
    <col min="10758" max="10758" width="22.85546875" style="137" customWidth="1"/>
    <col min="10759" max="10759" width="12" style="137" customWidth="1"/>
    <col min="10760" max="10760" width="15.5703125" style="137" customWidth="1"/>
    <col min="10761" max="11008" width="9.140625" style="137"/>
    <col min="11009" max="11009" width="0" style="137" hidden="1" customWidth="1"/>
    <col min="11010" max="11010" width="4.7109375" style="137" customWidth="1"/>
    <col min="11011" max="11011" width="16.7109375" style="137" customWidth="1"/>
    <col min="11012" max="11012" width="28" style="137" customWidth="1"/>
    <col min="11013" max="11013" width="28.7109375" style="137" customWidth="1"/>
    <col min="11014" max="11014" width="22.85546875" style="137" customWidth="1"/>
    <col min="11015" max="11015" width="12" style="137" customWidth="1"/>
    <col min="11016" max="11016" width="15.5703125" style="137" customWidth="1"/>
    <col min="11017" max="11264" width="9.140625" style="137"/>
    <col min="11265" max="11265" width="0" style="137" hidden="1" customWidth="1"/>
    <col min="11266" max="11266" width="4.7109375" style="137" customWidth="1"/>
    <col min="11267" max="11267" width="16.7109375" style="137" customWidth="1"/>
    <col min="11268" max="11268" width="28" style="137" customWidth="1"/>
    <col min="11269" max="11269" width="28.7109375" style="137" customWidth="1"/>
    <col min="11270" max="11270" width="22.85546875" style="137" customWidth="1"/>
    <col min="11271" max="11271" width="12" style="137" customWidth="1"/>
    <col min="11272" max="11272" width="15.5703125" style="137" customWidth="1"/>
    <col min="11273" max="11520" width="9.140625" style="137"/>
    <col min="11521" max="11521" width="0" style="137" hidden="1" customWidth="1"/>
    <col min="11522" max="11522" width="4.7109375" style="137" customWidth="1"/>
    <col min="11523" max="11523" width="16.7109375" style="137" customWidth="1"/>
    <col min="11524" max="11524" width="28" style="137" customWidth="1"/>
    <col min="11525" max="11525" width="28.7109375" style="137" customWidth="1"/>
    <col min="11526" max="11526" width="22.85546875" style="137" customWidth="1"/>
    <col min="11527" max="11527" width="12" style="137" customWidth="1"/>
    <col min="11528" max="11528" width="15.5703125" style="137" customWidth="1"/>
    <col min="11529" max="11776" width="9.140625" style="137"/>
    <col min="11777" max="11777" width="0" style="137" hidden="1" customWidth="1"/>
    <col min="11778" max="11778" width="4.7109375" style="137" customWidth="1"/>
    <col min="11779" max="11779" width="16.7109375" style="137" customWidth="1"/>
    <col min="11780" max="11780" width="28" style="137" customWidth="1"/>
    <col min="11781" max="11781" width="28.7109375" style="137" customWidth="1"/>
    <col min="11782" max="11782" width="22.85546875" style="137" customWidth="1"/>
    <col min="11783" max="11783" width="12" style="137" customWidth="1"/>
    <col min="11784" max="11784" width="15.5703125" style="137" customWidth="1"/>
    <col min="11785" max="12032" width="9.140625" style="137"/>
    <col min="12033" max="12033" width="0" style="137" hidden="1" customWidth="1"/>
    <col min="12034" max="12034" width="4.7109375" style="137" customWidth="1"/>
    <col min="12035" max="12035" width="16.7109375" style="137" customWidth="1"/>
    <col min="12036" max="12036" width="28" style="137" customWidth="1"/>
    <col min="12037" max="12037" width="28.7109375" style="137" customWidth="1"/>
    <col min="12038" max="12038" width="22.85546875" style="137" customWidth="1"/>
    <col min="12039" max="12039" width="12" style="137" customWidth="1"/>
    <col min="12040" max="12040" width="15.5703125" style="137" customWidth="1"/>
    <col min="12041" max="12288" width="9.140625" style="137"/>
    <col min="12289" max="12289" width="0" style="137" hidden="1" customWidth="1"/>
    <col min="12290" max="12290" width="4.7109375" style="137" customWidth="1"/>
    <col min="12291" max="12291" width="16.7109375" style="137" customWidth="1"/>
    <col min="12292" max="12292" width="28" style="137" customWidth="1"/>
    <col min="12293" max="12293" width="28.7109375" style="137" customWidth="1"/>
    <col min="12294" max="12294" width="22.85546875" style="137" customWidth="1"/>
    <col min="12295" max="12295" width="12" style="137" customWidth="1"/>
    <col min="12296" max="12296" width="15.5703125" style="137" customWidth="1"/>
    <col min="12297" max="12544" width="9.140625" style="137"/>
    <col min="12545" max="12545" width="0" style="137" hidden="1" customWidth="1"/>
    <col min="12546" max="12546" width="4.7109375" style="137" customWidth="1"/>
    <col min="12547" max="12547" width="16.7109375" style="137" customWidth="1"/>
    <col min="12548" max="12548" width="28" style="137" customWidth="1"/>
    <col min="12549" max="12549" width="28.7109375" style="137" customWidth="1"/>
    <col min="12550" max="12550" width="22.85546875" style="137" customWidth="1"/>
    <col min="12551" max="12551" width="12" style="137" customWidth="1"/>
    <col min="12552" max="12552" width="15.5703125" style="137" customWidth="1"/>
    <col min="12553" max="12800" width="9.140625" style="137"/>
    <col min="12801" max="12801" width="0" style="137" hidden="1" customWidth="1"/>
    <col min="12802" max="12802" width="4.7109375" style="137" customWidth="1"/>
    <col min="12803" max="12803" width="16.7109375" style="137" customWidth="1"/>
    <col min="12804" max="12804" width="28" style="137" customWidth="1"/>
    <col min="12805" max="12805" width="28.7109375" style="137" customWidth="1"/>
    <col min="12806" max="12806" width="22.85546875" style="137" customWidth="1"/>
    <col min="12807" max="12807" width="12" style="137" customWidth="1"/>
    <col min="12808" max="12808" width="15.5703125" style="137" customWidth="1"/>
    <col min="12809" max="13056" width="9.140625" style="137"/>
    <col min="13057" max="13057" width="0" style="137" hidden="1" customWidth="1"/>
    <col min="13058" max="13058" width="4.7109375" style="137" customWidth="1"/>
    <col min="13059" max="13059" width="16.7109375" style="137" customWidth="1"/>
    <col min="13060" max="13060" width="28" style="137" customWidth="1"/>
    <col min="13061" max="13061" width="28.7109375" style="137" customWidth="1"/>
    <col min="13062" max="13062" width="22.85546875" style="137" customWidth="1"/>
    <col min="13063" max="13063" width="12" style="137" customWidth="1"/>
    <col min="13064" max="13064" width="15.5703125" style="137" customWidth="1"/>
    <col min="13065" max="13312" width="9.140625" style="137"/>
    <col min="13313" max="13313" width="0" style="137" hidden="1" customWidth="1"/>
    <col min="13314" max="13314" width="4.7109375" style="137" customWidth="1"/>
    <col min="13315" max="13315" width="16.7109375" style="137" customWidth="1"/>
    <col min="13316" max="13316" width="28" style="137" customWidth="1"/>
    <col min="13317" max="13317" width="28.7109375" style="137" customWidth="1"/>
    <col min="13318" max="13318" width="22.85546875" style="137" customWidth="1"/>
    <col min="13319" max="13319" width="12" style="137" customWidth="1"/>
    <col min="13320" max="13320" width="15.5703125" style="137" customWidth="1"/>
    <col min="13321" max="13568" width="9.140625" style="137"/>
    <col min="13569" max="13569" width="0" style="137" hidden="1" customWidth="1"/>
    <col min="13570" max="13570" width="4.7109375" style="137" customWidth="1"/>
    <col min="13571" max="13571" width="16.7109375" style="137" customWidth="1"/>
    <col min="13572" max="13572" width="28" style="137" customWidth="1"/>
    <col min="13573" max="13573" width="28.7109375" style="137" customWidth="1"/>
    <col min="13574" max="13574" width="22.85546875" style="137" customWidth="1"/>
    <col min="13575" max="13575" width="12" style="137" customWidth="1"/>
    <col min="13576" max="13576" width="15.5703125" style="137" customWidth="1"/>
    <col min="13577" max="13824" width="9.140625" style="137"/>
    <col min="13825" max="13825" width="0" style="137" hidden="1" customWidth="1"/>
    <col min="13826" max="13826" width="4.7109375" style="137" customWidth="1"/>
    <col min="13827" max="13827" width="16.7109375" style="137" customWidth="1"/>
    <col min="13828" max="13828" width="28" style="137" customWidth="1"/>
    <col min="13829" max="13829" width="28.7109375" style="137" customWidth="1"/>
    <col min="13830" max="13830" width="22.85546875" style="137" customWidth="1"/>
    <col min="13831" max="13831" width="12" style="137" customWidth="1"/>
    <col min="13832" max="13832" width="15.5703125" style="137" customWidth="1"/>
    <col min="13833" max="14080" width="9.140625" style="137"/>
    <col min="14081" max="14081" width="0" style="137" hidden="1" customWidth="1"/>
    <col min="14082" max="14082" width="4.7109375" style="137" customWidth="1"/>
    <col min="14083" max="14083" width="16.7109375" style="137" customWidth="1"/>
    <col min="14084" max="14084" width="28" style="137" customWidth="1"/>
    <col min="14085" max="14085" width="28.7109375" style="137" customWidth="1"/>
    <col min="14086" max="14086" width="22.85546875" style="137" customWidth="1"/>
    <col min="14087" max="14087" width="12" style="137" customWidth="1"/>
    <col min="14088" max="14088" width="15.5703125" style="137" customWidth="1"/>
    <col min="14089" max="14336" width="9.140625" style="137"/>
    <col min="14337" max="14337" width="0" style="137" hidden="1" customWidth="1"/>
    <col min="14338" max="14338" width="4.7109375" style="137" customWidth="1"/>
    <col min="14339" max="14339" width="16.7109375" style="137" customWidth="1"/>
    <col min="14340" max="14340" width="28" style="137" customWidth="1"/>
    <col min="14341" max="14341" width="28.7109375" style="137" customWidth="1"/>
    <col min="14342" max="14342" width="22.85546875" style="137" customWidth="1"/>
    <col min="14343" max="14343" width="12" style="137" customWidth="1"/>
    <col min="14344" max="14344" width="15.5703125" style="137" customWidth="1"/>
    <col min="14345" max="14592" width="9.140625" style="137"/>
    <col min="14593" max="14593" width="0" style="137" hidden="1" customWidth="1"/>
    <col min="14594" max="14594" width="4.7109375" style="137" customWidth="1"/>
    <col min="14595" max="14595" width="16.7109375" style="137" customWidth="1"/>
    <col min="14596" max="14596" width="28" style="137" customWidth="1"/>
    <col min="14597" max="14597" width="28.7109375" style="137" customWidth="1"/>
    <col min="14598" max="14598" width="22.85546875" style="137" customWidth="1"/>
    <col min="14599" max="14599" width="12" style="137" customWidth="1"/>
    <col min="14600" max="14600" width="15.5703125" style="137" customWidth="1"/>
    <col min="14601" max="14848" width="9.140625" style="137"/>
    <col min="14849" max="14849" width="0" style="137" hidden="1" customWidth="1"/>
    <col min="14850" max="14850" width="4.7109375" style="137" customWidth="1"/>
    <col min="14851" max="14851" width="16.7109375" style="137" customWidth="1"/>
    <col min="14852" max="14852" width="28" style="137" customWidth="1"/>
    <col min="14853" max="14853" width="28.7109375" style="137" customWidth="1"/>
    <col min="14854" max="14854" width="22.85546875" style="137" customWidth="1"/>
    <col min="14855" max="14855" width="12" style="137" customWidth="1"/>
    <col min="14856" max="14856" width="15.5703125" style="137" customWidth="1"/>
    <col min="14857" max="15104" width="9.140625" style="137"/>
    <col min="15105" max="15105" width="0" style="137" hidden="1" customWidth="1"/>
    <col min="15106" max="15106" width="4.7109375" style="137" customWidth="1"/>
    <col min="15107" max="15107" width="16.7109375" style="137" customWidth="1"/>
    <col min="15108" max="15108" width="28" style="137" customWidth="1"/>
    <col min="15109" max="15109" width="28.7109375" style="137" customWidth="1"/>
    <col min="15110" max="15110" width="22.85546875" style="137" customWidth="1"/>
    <col min="15111" max="15111" width="12" style="137" customWidth="1"/>
    <col min="15112" max="15112" width="15.5703125" style="137" customWidth="1"/>
    <col min="15113" max="15360" width="9.140625" style="137"/>
    <col min="15361" max="15361" width="0" style="137" hidden="1" customWidth="1"/>
    <col min="15362" max="15362" width="4.7109375" style="137" customWidth="1"/>
    <col min="15363" max="15363" width="16.7109375" style="137" customWidth="1"/>
    <col min="15364" max="15364" width="28" style="137" customWidth="1"/>
    <col min="15365" max="15365" width="28.7109375" style="137" customWidth="1"/>
    <col min="15366" max="15366" width="22.85546875" style="137" customWidth="1"/>
    <col min="15367" max="15367" width="12" style="137" customWidth="1"/>
    <col min="15368" max="15368" width="15.5703125" style="137" customWidth="1"/>
    <col min="15369" max="15616" width="9.140625" style="137"/>
    <col min="15617" max="15617" width="0" style="137" hidden="1" customWidth="1"/>
    <col min="15618" max="15618" width="4.7109375" style="137" customWidth="1"/>
    <col min="15619" max="15619" width="16.7109375" style="137" customWidth="1"/>
    <col min="15620" max="15620" width="28" style="137" customWidth="1"/>
    <col min="15621" max="15621" width="28.7109375" style="137" customWidth="1"/>
    <col min="15622" max="15622" width="22.85546875" style="137" customWidth="1"/>
    <col min="15623" max="15623" width="12" style="137" customWidth="1"/>
    <col min="15624" max="15624" width="15.5703125" style="137" customWidth="1"/>
    <col min="15625" max="15872" width="9.140625" style="137"/>
    <col min="15873" max="15873" width="0" style="137" hidden="1" customWidth="1"/>
    <col min="15874" max="15874" width="4.7109375" style="137" customWidth="1"/>
    <col min="15875" max="15875" width="16.7109375" style="137" customWidth="1"/>
    <col min="15876" max="15876" width="28" style="137" customWidth="1"/>
    <col min="15877" max="15877" width="28.7109375" style="137" customWidth="1"/>
    <col min="15878" max="15878" width="22.85546875" style="137" customWidth="1"/>
    <col min="15879" max="15879" width="12" style="137" customWidth="1"/>
    <col min="15880" max="15880" width="15.5703125" style="137" customWidth="1"/>
    <col min="15881" max="16128" width="9.140625" style="137"/>
    <col min="16129" max="16129" width="0" style="137" hidden="1" customWidth="1"/>
    <col min="16130" max="16130" width="4.7109375" style="137" customWidth="1"/>
    <col min="16131" max="16131" width="16.7109375" style="137" customWidth="1"/>
    <col min="16132" max="16132" width="28" style="137" customWidth="1"/>
    <col min="16133" max="16133" width="28.7109375" style="137" customWidth="1"/>
    <col min="16134" max="16134" width="22.85546875" style="137" customWidth="1"/>
    <col min="16135" max="16135" width="12" style="137" customWidth="1"/>
    <col min="16136" max="16136" width="15.5703125" style="137" customWidth="1"/>
    <col min="16137" max="16384" width="9.140625" style="137"/>
  </cols>
  <sheetData>
    <row r="2" spans="3:10" ht="15">
      <c r="C2" s="136" t="s">
        <v>100</v>
      </c>
      <c r="H2" s="138" t="s">
        <v>101</v>
      </c>
      <c r="I2" s="139" t="s">
        <v>102</v>
      </c>
    </row>
    <row r="3" spans="3:10">
      <c r="C3" s="137" t="s">
        <v>103</v>
      </c>
      <c r="D3" s="137" t="s">
        <v>104</v>
      </c>
      <c r="H3" s="138" t="s">
        <v>105</v>
      </c>
      <c r="I3" s="653">
        <v>43935</v>
      </c>
      <c r="J3" s="654"/>
    </row>
    <row r="4" spans="3:10">
      <c r="C4" s="137" t="s">
        <v>106</v>
      </c>
      <c r="D4" s="140">
        <v>9726700</v>
      </c>
    </row>
    <row r="6" spans="3:10" ht="12.75" customHeight="1">
      <c r="C6" s="655" t="s">
        <v>107</v>
      </c>
      <c r="D6" s="655"/>
      <c r="E6" s="655"/>
      <c r="F6" s="655"/>
      <c r="G6" s="655"/>
      <c r="H6" s="655"/>
    </row>
    <row r="7" spans="3:10" ht="12.75" customHeight="1">
      <c r="C7" s="655"/>
      <c r="D7" s="655"/>
      <c r="E7" s="655"/>
      <c r="F7" s="655"/>
      <c r="G7" s="655"/>
      <c r="H7" s="655"/>
    </row>
    <row r="8" spans="3:10" ht="12.75" customHeight="1">
      <c r="C8" s="141"/>
      <c r="D8" s="141"/>
      <c r="E8" s="141"/>
      <c r="F8" s="141"/>
      <c r="G8" s="141"/>
      <c r="H8" s="141"/>
    </row>
    <row r="9" spans="3:10" ht="18">
      <c r="C9" s="656" t="s">
        <v>108</v>
      </c>
      <c r="D9" s="656"/>
      <c r="E9" s="656"/>
      <c r="H9" s="142" t="s">
        <v>109</v>
      </c>
    </row>
    <row r="10" spans="3:10">
      <c r="C10" s="140"/>
      <c r="D10" s="140"/>
      <c r="E10" s="140"/>
    </row>
    <row r="11" spans="3:10">
      <c r="C11" s="657" t="s">
        <v>110</v>
      </c>
      <c r="D11" s="659" t="s">
        <v>111</v>
      </c>
      <c r="E11" s="661" t="s">
        <v>112</v>
      </c>
      <c r="F11" s="661" t="s">
        <v>113</v>
      </c>
      <c r="G11" s="661" t="s">
        <v>114</v>
      </c>
      <c r="H11" s="659" t="s">
        <v>115</v>
      </c>
      <c r="I11" s="662" t="s">
        <v>116</v>
      </c>
      <c r="J11" s="662"/>
    </row>
    <row r="12" spans="3:10" ht="34.5" customHeight="1">
      <c r="C12" s="658"/>
      <c r="D12" s="660"/>
      <c r="E12" s="661"/>
      <c r="F12" s="661"/>
      <c r="G12" s="661"/>
      <c r="H12" s="660"/>
      <c r="I12" s="143" t="s">
        <v>117</v>
      </c>
      <c r="J12" s="143" t="s">
        <v>118</v>
      </c>
    </row>
    <row r="13" spans="3:10" ht="75">
      <c r="C13" s="144">
        <v>1</v>
      </c>
      <c r="D13" s="145" t="s">
        <v>119</v>
      </c>
      <c r="E13" s="145" t="s">
        <v>120</v>
      </c>
      <c r="F13" s="146" t="s">
        <v>121</v>
      </c>
      <c r="G13" s="146">
        <v>2006</v>
      </c>
      <c r="H13" s="147">
        <v>1877.9</v>
      </c>
      <c r="I13" s="148"/>
      <c r="J13" s="147"/>
    </row>
    <row r="14" spans="3:10" ht="120">
      <c r="C14" s="144">
        <v>2</v>
      </c>
      <c r="D14" s="145" t="s">
        <v>122</v>
      </c>
      <c r="E14" s="145" t="s">
        <v>123</v>
      </c>
      <c r="F14" s="145" t="s">
        <v>124</v>
      </c>
      <c r="G14" s="146">
        <v>798</v>
      </c>
      <c r="H14" s="147">
        <v>1434.9</v>
      </c>
      <c r="I14" s="148"/>
      <c r="J14" s="147"/>
    </row>
    <row r="15" spans="3:10" ht="60">
      <c r="C15" s="144">
        <v>3</v>
      </c>
      <c r="D15" s="145" t="s">
        <v>125</v>
      </c>
      <c r="E15" s="149" t="s">
        <v>126</v>
      </c>
      <c r="F15" s="145" t="s">
        <v>121</v>
      </c>
      <c r="G15" s="144">
        <v>1500</v>
      </c>
      <c r="H15" s="150">
        <v>2462.6</v>
      </c>
      <c r="I15" s="148"/>
      <c r="J15" s="147"/>
    </row>
    <row r="16" spans="3:10" ht="60">
      <c r="C16" s="144">
        <v>4</v>
      </c>
      <c r="D16" s="145" t="s">
        <v>127</v>
      </c>
      <c r="E16" s="149" t="s">
        <v>128</v>
      </c>
      <c r="F16" s="146" t="s">
        <v>121</v>
      </c>
      <c r="G16" s="144">
        <v>800</v>
      </c>
      <c r="H16" s="150">
        <v>999.2</v>
      </c>
      <c r="I16" s="148"/>
      <c r="J16" s="147"/>
    </row>
    <row r="17" spans="3:10" ht="120">
      <c r="C17" s="144">
        <v>5</v>
      </c>
      <c r="D17" s="145" t="s">
        <v>129</v>
      </c>
      <c r="E17" s="149" t="s">
        <v>123</v>
      </c>
      <c r="F17" s="145" t="s">
        <v>130</v>
      </c>
      <c r="G17" s="144">
        <v>64</v>
      </c>
      <c r="H17" s="150">
        <v>1209.3</v>
      </c>
      <c r="I17" s="148">
        <v>2</v>
      </c>
      <c r="J17" s="147">
        <v>0.1</v>
      </c>
    </row>
    <row r="18" spans="3:10" ht="60.75" thickBot="1">
      <c r="C18" s="144">
        <v>6</v>
      </c>
      <c r="D18" s="145" t="s">
        <v>131</v>
      </c>
      <c r="E18" s="149" t="s">
        <v>128</v>
      </c>
      <c r="F18" s="145" t="s">
        <v>132</v>
      </c>
      <c r="G18" s="144">
        <v>10</v>
      </c>
      <c r="H18" s="150">
        <v>167.9</v>
      </c>
      <c r="I18" s="148"/>
      <c r="J18" s="147"/>
    </row>
    <row r="19" spans="3:10" ht="30" customHeight="1" thickTop="1">
      <c r="C19" s="151"/>
      <c r="D19" s="151"/>
      <c r="E19" s="151"/>
      <c r="F19" s="152" t="s">
        <v>133</v>
      </c>
      <c r="G19" s="153">
        <f>SUM(G13:G18)</f>
        <v>5178</v>
      </c>
      <c r="H19" s="154">
        <f>SUM(H13:H18)</f>
        <v>8151.7999999999993</v>
      </c>
      <c r="I19" s="155">
        <f>SUM(I13:I18)</f>
        <v>2</v>
      </c>
      <c r="J19" s="154">
        <f>SUM(J13:J18)</f>
        <v>0.1</v>
      </c>
    </row>
    <row r="20" spans="3:10" ht="30" customHeight="1">
      <c r="C20" s="156"/>
      <c r="D20" s="156"/>
      <c r="E20" s="156"/>
      <c r="F20" s="156"/>
      <c r="G20" s="156"/>
      <c r="H20" s="156"/>
    </row>
    <row r="21" spans="3:10" ht="24.95" customHeight="1">
      <c r="C21" s="156"/>
      <c r="D21" s="156"/>
      <c r="E21" s="156"/>
      <c r="F21" s="157" t="s">
        <v>134</v>
      </c>
      <c r="G21" s="158"/>
      <c r="H21" s="158"/>
    </row>
    <row r="22" spans="3:10" ht="24.95" customHeight="1">
      <c r="C22" s="159"/>
      <c r="D22" s="159"/>
      <c r="E22" s="159"/>
      <c r="F22" s="159"/>
      <c r="G22" s="652" t="s">
        <v>135</v>
      </c>
      <c r="H22" s="652"/>
    </row>
    <row r="23" spans="3:10" ht="24.95" customHeight="1">
      <c r="C23" s="159"/>
      <c r="D23" s="159"/>
      <c r="E23" s="159"/>
      <c r="F23" s="159"/>
      <c r="G23" s="159"/>
      <c r="H23" s="159"/>
    </row>
    <row r="24" spans="3:10" ht="24.95" customHeight="1">
      <c r="C24" s="136"/>
      <c r="H24" s="138"/>
      <c r="I24" s="160"/>
    </row>
    <row r="25" spans="3:10" ht="24.95" customHeight="1">
      <c r="H25" s="138"/>
      <c r="I25" s="653"/>
      <c r="J25" s="654"/>
    </row>
    <row r="26" spans="3:10">
      <c r="C26" s="140"/>
      <c r="D26" s="140"/>
    </row>
    <row r="27" spans="3:10">
      <c r="D27" s="140"/>
    </row>
  </sheetData>
  <mergeCells count="12">
    <mergeCell ref="G22:H22"/>
    <mergeCell ref="I25:J25"/>
    <mergeCell ref="I3:J3"/>
    <mergeCell ref="C6:H7"/>
    <mergeCell ref="C9:E9"/>
    <mergeCell ref="C11:C12"/>
    <mergeCell ref="D11:D12"/>
    <mergeCell ref="E11:E12"/>
    <mergeCell ref="F11:F12"/>
    <mergeCell ref="G11:G12"/>
    <mergeCell ref="H11:H12"/>
    <mergeCell ref="I11:J11"/>
  </mergeCells>
  <printOptions horizontalCentered="1" verticalCentered="1"/>
  <pageMargins left="0.57999999999999996" right="0.45" top="0.36" bottom="0.33" header="0.21" footer="0.27"/>
  <pageSetup paperSize="9" scale="85" orientation="landscape" horizontalDpi="4294967295" verticalDpi="4294967295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checked" Type="http://schemas.openxmlformats.org/officeDocument/2006/relationships/image" Target="images/checked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CargoCalculations.CalculateUnitsAndWeights" image="laptop"/>
          <button id="UnloadPortsButton" label="Clear Port(s)" size="large" onAction="ClearPortModule.ClearSelectedPorts" image="forklift"/>
          <button id="ValidateCalculationsButton" label="Validate" size="large" onAction="ValidateCalculations.ValidateUnitsAndWeights" image="checked"/>
        </group>
        <group id="DrawingPlanGroup" label="Drawings">
          <button id="AddStaticCargoBox" label="Add Static Cargo" size="large" onAction="CargoBox.AddStaticCargoBox" image="box"/>
          <button id="AddInfoBox" label="Add Info Box" size="large" onAction="CargoBox.AddInfoBoxAction" image="info"/>
          <button id="ClearSelectionButton" label="Delete Selection" size="large" onAction="ClearPortModule.CleareSelectionAction" image="eraser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  <button id="ShowHiddenRowsButton" label="Show All Rows" size="large" onAction="TableArrangement.ShowAllRows" image="show"/>
          <button id="HideEmptyRowsButton" label="Hide Empty Rows" size="large" onAction="TableArrangement.HideEmptyRows" image="hide"/>
        </group>
        <group id="DocumentsGroup" label="Documents">
          <button id="BackUpStowagePlanButton" label="Create Backup" size="large" onAction="Utils.BackUpStowagePlanAction" image="backup"/>
          <button id="ExportDeparturePlanButton" label="Export Departure Plan" size="large" onAction="DeparturePlan.ExportDeparturePlanButton" image="cargo"/>
          <button id="PreArrivalButton" label="Create Pre-Arrival Plan" size="large" onAction="PreArrivalModule.PreArrivalPortButton" image="checklist"/>
          <button id="ExportDischargePlanButton" label="Export Discharge Plan" getVisible="EnableControl" size="large" onAction="PreArrivalModule.ExportDischargePlanButton" image="crane"/>
        </group>
        <group id="StowageDirecetionsGroup" label="Stowage Directions">
          <button id="HeadToForeButton" label="Head To Fore" size="normal" onAction="StowageDirections.HeadToFore" imageMso="ShapeRightArrow"/>
          <button id="HeadToAftButton" label="Head To Aft" size="normal" onAction="StowageDirections.HeadToAft" imageMso="ShapeLeftArrow"/>
          <button id="HeadToPortButton" label="Head To Port" size="normal" onAction="StowageDirections.HeadToPort" imageMso="ShapeUpArrow"/>
          <button id="HeadToStbdButton" label="Head To Stbd" size="normal" onAction="StowageDirections.HeadToStbd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Stowage Plan</vt:lpstr>
      <vt:lpstr>Main Deck</vt:lpstr>
      <vt:lpstr>Panel Plan</vt:lpstr>
      <vt:lpstr>Hatch Summary</vt:lpstr>
      <vt:lpstr>Ramps Arrangement</vt:lpstr>
      <vt:lpstr>Transit Cargo Manifest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'Main Deck'!Print_Area</vt:lpstr>
      <vt:lpstr>'Panel Plan'!Print_Area</vt:lpstr>
      <vt:lpstr>'Ramps Arrangement'!Print_Area</vt:lpstr>
      <vt:lpstr>'Stowage Plan'!Print_Area</vt:lpstr>
      <vt:lpstr>'Transit Cargo Manifest'!Print_Area</vt:lpstr>
      <vt:lpstr>UPPER_DECK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cp:lastPrinted>2020-10-22T02:14:46Z</cp:lastPrinted>
  <dcterms:created xsi:type="dcterms:W3CDTF">2015-10-05T22:40:48Z</dcterms:created>
  <dcterms:modified xsi:type="dcterms:W3CDTF">2020-10-23T02:37:38Z</dcterms:modified>
</cp:coreProperties>
</file>