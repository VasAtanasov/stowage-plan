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owage-plan\"/>
    </mc:Choice>
  </mc:AlternateContent>
  <bookViews>
    <workbookView xWindow="-120" yWindow="-120" windowWidth="29040" windowHeight="15840"/>
  </bookViews>
  <sheets>
    <sheet name="StowagePlan" sheetId="53" r:id="rId1"/>
  </sheets>
  <functionGroups builtInGroupCount="18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StowagePlan!$AU$9:$CH$21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StowagePlan!$Q$9:$AT$21</definedName>
    <definedName name="LOWER_DECK">StowagePlan!$AA$102:$CP$137</definedName>
    <definedName name="PortsList">StowagePlan!$B$9:$M$21</definedName>
    <definedName name="PP호" hidden="1">{"'Hatch06'!$AI$25","'Hatch06'!$A$1:$BD$38"}</definedName>
    <definedName name="_xlnm.Print_Area" localSheetId="0">StowagePlan!$A$1:$DE$143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사랑" hidden="1">{"'Hatch06'!$AI$25","'Hatch06'!$A$1:$BD$38"}</definedName>
  </definedNames>
  <calcPr calcId="162913"/>
  <fileRecoveryPr autoRecover="0"/>
</workbook>
</file>

<file path=xl/calcChain.xml><?xml version="1.0" encoding="utf-8"?>
<calcChain xmlns="http://schemas.openxmlformats.org/spreadsheetml/2006/main">
  <c r="CI8" i="53" l="1"/>
  <c r="CN8" i="53"/>
  <c r="CN15" i="53" l="1"/>
  <c r="CN9" i="53"/>
  <c r="CN19" i="53"/>
  <c r="CN12" i="53"/>
  <c r="CN17" i="53"/>
  <c r="CN11" i="53"/>
  <c r="CN10" i="53"/>
  <c r="CN18" i="53"/>
  <c r="CN16" i="53"/>
  <c r="CN13" i="53"/>
  <c r="CN14" i="53"/>
  <c r="CN20" i="53"/>
  <c r="CN21" i="53"/>
  <c r="CN22" i="53"/>
  <c r="CI15" i="53"/>
  <c r="CI9" i="53"/>
  <c r="CI19" i="53"/>
  <c r="CI12" i="53"/>
  <c r="CI17" i="53"/>
  <c r="CI11" i="53"/>
  <c r="CI10" i="53"/>
  <c r="CI18" i="53"/>
  <c r="CI16" i="53"/>
  <c r="CI13" i="53"/>
  <c r="CI14" i="53"/>
  <c r="CI20" i="53"/>
  <c r="CI21" i="53"/>
  <c r="CI22" i="53"/>
  <c r="DC56" i="53" a="1"/>
  <c r="DC67" i="53" a="1"/>
  <c r="DC85" i="53" a="1"/>
  <c r="DC76" i="53" a="1"/>
  <c r="DC94" i="53" a="1"/>
  <c r="DC122" i="53" a="1"/>
  <c r="DC131" i="53" a="1"/>
  <c r="DC113" i="53" a="1"/>
  <c r="DC104" i="53" a="1"/>
  <c r="DC47" i="53" a="1"/>
  <c r="DC29" i="53" a="1"/>
  <c r="DC38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P140" i="53" a="1"/>
  <c r="CL140" i="53" a="1"/>
  <c r="BQ140" i="53" a="1"/>
  <c r="AR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CT139" i="53" l="1"/>
  <c r="CT138" i="53"/>
  <c r="CY29" i="53"/>
  <c r="CY30" i="53"/>
</calcChain>
</file>

<file path=xl/sharedStrings.xml><?xml version="1.0" encoding="utf-8"?>
<sst xmlns="http://schemas.openxmlformats.org/spreadsheetml/2006/main" count="102" uniqueCount="59">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</sst>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/mmm/yyyy"/>
    <numFmt numFmtId="165" formatCode="0.0\ \t"/>
    <numFmt numFmtId="166" formatCode="0\ &quot;u/t&quot;"/>
    <numFmt numFmtId="167" formatCode="0\ &quot;p'kgs&quot;"/>
    <numFmt numFmtId="168" formatCode="0.0"/>
  </numFmts>
  <fonts count="2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496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15" fillId="9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0" fontId="8" fillId="12" borderId="34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8" fillId="5" borderId="95" xfId="0" applyFont="1" applyFill="1" applyBorder="1" applyAlignment="1">
      <alignment horizontal="center" vertical="center"/>
    </xf>
    <xf numFmtId="0" fontId="8" fillId="5" borderId="96" xfId="0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91" xfId="0" applyFont="1" applyFill="1" applyBorder="1" applyAlignment="1">
      <alignment horizontal="center" vertical="center"/>
    </xf>
    <xf numFmtId="0" fontId="8" fillId="5" borderId="92" xfId="0" applyFont="1" applyFill="1" applyBorder="1" applyAlignment="1">
      <alignment horizontal="center" vertical="center"/>
    </xf>
    <xf numFmtId="0" fontId="8" fillId="5" borderId="93" xfId="0" applyFont="1" applyFill="1" applyBorder="1" applyAlignment="1">
      <alignment horizontal="center" vertical="center"/>
    </xf>
    <xf numFmtId="0" fontId="8" fillId="5" borderId="94" xfId="0" applyFont="1" applyFill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86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80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9" fillId="9" borderId="56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9" fillId="12" borderId="88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168" fontId="9" fillId="12" borderId="8" xfId="0" applyNumberFormat="1" applyFont="1" applyFill="1" applyBorder="1" applyAlignment="1">
      <alignment horizontal="center" vertical="center"/>
    </xf>
    <xf numFmtId="168" fontId="9" fillId="12" borderId="9" xfId="0" applyNumberFormat="1" applyFont="1" applyFill="1" applyBorder="1" applyAlignment="1">
      <alignment horizontal="center" vertical="center"/>
    </xf>
    <xf numFmtId="168" fontId="9" fillId="12" borderId="89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8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168" fontId="9" fillId="9" borderId="8" xfId="0" applyNumberFormat="1" applyFont="1" applyFill="1" applyBorder="1" applyAlignment="1">
      <alignment horizontal="center" vertical="center"/>
    </xf>
    <xf numFmtId="168" fontId="9" fillId="9" borderId="9" xfId="0" applyNumberFormat="1" applyFont="1" applyFill="1" applyBorder="1" applyAlignment="1">
      <alignment horizontal="center" vertical="center"/>
    </xf>
    <xf numFmtId="168" fontId="9" fillId="9" borderId="89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18" borderId="36" xfId="0" applyFont="1" applyFill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5" borderId="8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168" fontId="9" fillId="5" borderId="8" xfId="0" applyNumberFormat="1" applyFont="1" applyFill="1" applyBorder="1" applyAlignment="1">
      <alignment horizontal="center" vertical="center"/>
    </xf>
    <xf numFmtId="168" fontId="9" fillId="5" borderId="9" xfId="0" applyNumberFormat="1" applyFont="1" applyFill="1" applyBorder="1" applyAlignment="1">
      <alignment horizontal="center" vertical="center"/>
    </xf>
    <xf numFmtId="168" fontId="9" fillId="5" borderId="89" xfId="0" applyNumberFormat="1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17" borderId="51" xfId="0" applyFont="1" applyFill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2" borderId="56" xfId="0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7" borderId="51" xfId="0" applyFont="1" applyFill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5" fillId="14" borderId="29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</cellXfs>
  <cellStyles count="8">
    <cellStyle name="Normal" xfId="0" builtinId="0"/>
    <cellStyle name="Normal 2" xfId="1"/>
    <cellStyle name="Normal 2 2" xfId="2"/>
    <cellStyle name="Normal 2 3" xfId="3"/>
    <cellStyle name="Normal 2 4" xfId="4"/>
    <cellStyle name="Normal 3" xfId="5"/>
    <cellStyle name="Percent 2" xfId="6"/>
    <cellStyle name="標準 2" xfId="7"/>
  </cellStyles>
  <dxfs count="0"/>
  <tableStyles count="0" defaultTableStyle="TableStyleMedium2" defaultPivotStyle="PivotStyleLight16"/>
  <colors>
    <mruColors>
      <color rgb="FF92D050"/>
      <color rgb="FFFF33CC"/>
      <color rgb="FF00B0F0"/>
      <color rgb="FF666699"/>
      <color rgb="FFFFFF99"/>
      <color rgb="FFCCFFCC"/>
      <color rgb="FFFF3300"/>
      <color rgb="FFFF0000"/>
      <color rgb="FFB4C6E7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AutoShape 8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5502" y="25088850"/>
          <a:ext cx="201707" cy="79897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3093" y="22855519"/>
          <a:ext cx="201707" cy="80009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AutoShape 81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AutoShape 81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973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400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7449368"/>
          <a:ext cx="3419475" cy="6147619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9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276785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54373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320290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2763370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5470971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322531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10110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101103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152359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997824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7227795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9424146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1642912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5845116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7205383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9435351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3884087"/>
          <a:ext cx="2279632" cy="218514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6091647"/>
          <a:ext cx="3758807" cy="465044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>
    <pageSetUpPr fitToPage="1"/>
  </sheetPr>
  <dimension ref="B1:DE447"/>
  <sheetViews>
    <sheetView tabSelected="1" view="pageBreakPreview" topLeftCell="A4" zoomScale="85" zoomScaleNormal="70" zoomScaleSheetLayoutView="85" workbookViewId="0">
      <selection activeCell="Q14" sqref="Q14:S14"/>
    </sheetView>
  </sheetViews>
  <sheetFormatPr defaultRowHeight="14.25"/>
  <cols>
    <col min="1" max="1" width="3.7109375" style="7" customWidth="1"/>
    <col min="2" max="102" width="2.85546875" style="7" customWidth="1"/>
    <col min="103" max="103" width="2.85546875" style="10" customWidth="1"/>
    <col min="104" max="120" width="2.85546875" style="7" customWidth="1"/>
    <col min="121" max="16384" width="9.140625" style="7"/>
  </cols>
  <sheetData>
    <row r="1" spans="2:106" ht="17.25" customHeight="1"/>
    <row r="2" spans="2:106" ht="15.75" customHeight="1">
      <c r="B2" s="1" t="s">
        <v>14</v>
      </c>
      <c r="AL2" s="201" t="s">
        <v>15</v>
      </c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O2" s="473" t="s">
        <v>16</v>
      </c>
      <c r="BP2" s="473"/>
      <c r="BQ2" s="473"/>
      <c r="BR2" s="473"/>
      <c r="BS2" s="473"/>
      <c r="BT2" s="473"/>
      <c r="BU2" s="490" t="s">
        <v>57</v>
      </c>
      <c r="BV2" s="490"/>
      <c r="BW2" s="490"/>
      <c r="BX2" s="490"/>
      <c r="BY2" s="490"/>
      <c r="BZ2" s="86"/>
      <c r="CA2" s="87"/>
      <c r="CB2" s="87"/>
      <c r="CC2" s="1"/>
      <c r="CD2" s="1"/>
    </row>
    <row r="3" spans="2:106" ht="20.100000000000001" customHeight="1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Q3" s="22"/>
      <c r="R3" s="22"/>
      <c r="S3" s="22"/>
      <c r="T3" s="22"/>
      <c r="U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01"/>
      <c r="AM3" s="201"/>
      <c r="AN3" s="201"/>
      <c r="AO3" s="201"/>
      <c r="AP3" s="201"/>
      <c r="AQ3" s="201"/>
      <c r="AR3" s="201"/>
      <c r="AS3" s="201"/>
      <c r="AT3" s="201"/>
      <c r="AU3" s="201"/>
      <c r="AV3" s="201"/>
      <c r="AW3" s="201"/>
      <c r="AX3" s="201"/>
      <c r="AY3" s="201"/>
      <c r="AZ3" s="201"/>
      <c r="BA3" s="201"/>
      <c r="BB3" s="201"/>
      <c r="BC3" s="201"/>
      <c r="BD3" s="201"/>
      <c r="BE3" s="201"/>
      <c r="BF3" s="201"/>
      <c r="BG3" s="201"/>
      <c r="BH3" s="201"/>
      <c r="BI3" s="201"/>
      <c r="BJ3" s="201"/>
      <c r="BK3" s="201"/>
      <c r="BL3" s="201"/>
      <c r="BM3" s="201"/>
      <c r="BN3" s="22"/>
      <c r="BO3" s="473" t="s">
        <v>17</v>
      </c>
      <c r="BP3" s="473"/>
      <c r="BQ3" s="473"/>
      <c r="BR3" s="473"/>
      <c r="BS3" s="473"/>
      <c r="BT3" s="473"/>
      <c r="BU3" s="490" t="s">
        <v>58</v>
      </c>
      <c r="BV3" s="490"/>
      <c r="BW3" s="490"/>
      <c r="BX3" s="490"/>
      <c r="BY3" s="490"/>
      <c r="BZ3" s="490"/>
      <c r="CA3" s="490"/>
      <c r="CB3" s="490"/>
      <c r="CC3" s="3"/>
      <c r="CD3" s="340" t="s">
        <v>0</v>
      </c>
      <c r="CE3" s="340"/>
      <c r="CF3" s="340"/>
      <c r="CM3" s="22"/>
      <c r="CN3" s="22"/>
      <c r="CO3" s="22"/>
      <c r="CQ3" s="22"/>
      <c r="CR3" s="22"/>
      <c r="CS3" s="22"/>
      <c r="CT3" s="22"/>
      <c r="CU3" s="22"/>
      <c r="CV3" s="22"/>
      <c r="CW3" s="22"/>
    </row>
    <row r="4" spans="2:106" ht="11.25" customHeight="1" thickBot="1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06" ht="20.100000000000001" customHeight="1" thickTop="1">
      <c r="B5" s="164" t="s">
        <v>49</v>
      </c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6"/>
      <c r="Q5" s="164" t="s">
        <v>6</v>
      </c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6"/>
      <c r="AU5" s="276" t="s">
        <v>8</v>
      </c>
      <c r="AV5" s="277"/>
      <c r="AW5" s="277"/>
      <c r="AX5" s="277"/>
      <c r="AY5" s="277"/>
      <c r="AZ5" s="277"/>
      <c r="BA5" s="277"/>
      <c r="BB5" s="277"/>
      <c r="BC5" s="277"/>
      <c r="BD5" s="278"/>
      <c r="BE5" s="276" t="s">
        <v>9</v>
      </c>
      <c r="BF5" s="277"/>
      <c r="BG5" s="277"/>
      <c r="BH5" s="277"/>
      <c r="BI5" s="277"/>
      <c r="BJ5" s="277"/>
      <c r="BK5" s="277"/>
      <c r="BL5" s="277"/>
      <c r="BM5" s="277"/>
      <c r="BN5" s="278"/>
      <c r="BO5" s="276" t="s">
        <v>10</v>
      </c>
      <c r="BP5" s="277"/>
      <c r="BQ5" s="277"/>
      <c r="BR5" s="277"/>
      <c r="BS5" s="277"/>
      <c r="BT5" s="277"/>
      <c r="BU5" s="277"/>
      <c r="BV5" s="277"/>
      <c r="BW5" s="277"/>
      <c r="BX5" s="278"/>
      <c r="BY5" s="276" t="s">
        <v>11</v>
      </c>
      <c r="BZ5" s="277"/>
      <c r="CA5" s="277"/>
      <c r="CB5" s="277"/>
      <c r="CC5" s="277"/>
      <c r="CD5" s="277"/>
      <c r="CE5" s="277"/>
      <c r="CF5" s="277"/>
      <c r="CG5" s="277"/>
      <c r="CH5" s="278"/>
      <c r="CI5" s="308" t="s">
        <v>7</v>
      </c>
      <c r="CJ5" s="309"/>
      <c r="CK5" s="309"/>
      <c r="CL5" s="309"/>
      <c r="CM5" s="309"/>
      <c r="CN5" s="309"/>
      <c r="CO5" s="309"/>
      <c r="CP5" s="309"/>
      <c r="CQ5" s="309"/>
      <c r="CR5" s="309"/>
      <c r="CS5" s="309"/>
      <c r="CT5" s="309"/>
      <c r="CU5" s="309"/>
      <c r="CV5" s="309"/>
      <c r="CW5" s="309"/>
      <c r="CX5" s="309"/>
      <c r="CY5" s="309"/>
      <c r="CZ5" s="309"/>
      <c r="DA5" s="309"/>
      <c r="DB5" s="310"/>
    </row>
    <row r="6" spans="2:106" ht="25.5" customHeight="1" thickBot="1">
      <c r="B6" s="167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9"/>
      <c r="Q6" s="167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9"/>
      <c r="AU6" s="279"/>
      <c r="AV6" s="280"/>
      <c r="AW6" s="280"/>
      <c r="AX6" s="280"/>
      <c r="AY6" s="280"/>
      <c r="AZ6" s="280"/>
      <c r="BA6" s="280"/>
      <c r="BB6" s="280"/>
      <c r="BC6" s="280"/>
      <c r="BD6" s="281"/>
      <c r="BE6" s="279"/>
      <c r="BF6" s="280"/>
      <c r="BG6" s="280"/>
      <c r="BH6" s="280"/>
      <c r="BI6" s="280"/>
      <c r="BJ6" s="280"/>
      <c r="BK6" s="280"/>
      <c r="BL6" s="280"/>
      <c r="BM6" s="280"/>
      <c r="BN6" s="281"/>
      <c r="BO6" s="279"/>
      <c r="BP6" s="280"/>
      <c r="BQ6" s="280"/>
      <c r="BR6" s="280"/>
      <c r="BS6" s="280"/>
      <c r="BT6" s="280"/>
      <c r="BU6" s="280"/>
      <c r="BV6" s="280"/>
      <c r="BW6" s="280"/>
      <c r="BX6" s="281"/>
      <c r="BY6" s="279"/>
      <c r="BZ6" s="280"/>
      <c r="CA6" s="280"/>
      <c r="CB6" s="280"/>
      <c r="CC6" s="280"/>
      <c r="CD6" s="280"/>
      <c r="CE6" s="280"/>
      <c r="CF6" s="280"/>
      <c r="CG6" s="280"/>
      <c r="CH6" s="281"/>
      <c r="CI6" s="492" t="s">
        <v>13</v>
      </c>
      <c r="CJ6" s="493"/>
      <c r="CK6" s="493"/>
      <c r="CL6" s="493"/>
      <c r="CM6" s="493"/>
      <c r="CN6" s="493"/>
      <c r="CO6" s="493"/>
      <c r="CP6" s="493"/>
      <c r="CQ6" s="493"/>
      <c r="CR6" s="493"/>
      <c r="CS6" s="493" t="s">
        <v>18</v>
      </c>
      <c r="CT6" s="493"/>
      <c r="CU6" s="493"/>
      <c r="CV6" s="493"/>
      <c r="CW6" s="493"/>
      <c r="CX6" s="493"/>
      <c r="CY6" s="493"/>
      <c r="CZ6" s="493"/>
      <c r="DA6" s="493"/>
      <c r="DB6" s="494"/>
    </row>
    <row r="7" spans="2:106" ht="18.75" customHeight="1" thickTop="1" thickBot="1">
      <c r="B7" s="202" t="s">
        <v>51</v>
      </c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5"/>
      <c r="N7" s="204" t="s">
        <v>50</v>
      </c>
      <c r="O7" s="203"/>
      <c r="P7" s="266"/>
      <c r="Q7" s="170"/>
      <c r="R7" s="171"/>
      <c r="S7" s="172"/>
      <c r="T7" s="170"/>
      <c r="U7" s="171"/>
      <c r="V7" s="172"/>
      <c r="W7" s="170"/>
      <c r="X7" s="171"/>
      <c r="Y7" s="172"/>
      <c r="Z7" s="170"/>
      <c r="AA7" s="171"/>
      <c r="AB7" s="172"/>
      <c r="AC7" s="170"/>
      <c r="AD7" s="171"/>
      <c r="AE7" s="172"/>
      <c r="AF7" s="170"/>
      <c r="AG7" s="171"/>
      <c r="AH7" s="172"/>
      <c r="AI7" s="170"/>
      <c r="AJ7" s="171"/>
      <c r="AK7" s="172"/>
      <c r="AL7" s="170"/>
      <c r="AM7" s="171"/>
      <c r="AN7" s="172"/>
      <c r="AO7" s="170"/>
      <c r="AP7" s="171"/>
      <c r="AQ7" s="172"/>
      <c r="AR7" s="170"/>
      <c r="AS7" s="171"/>
      <c r="AT7" s="172"/>
      <c r="AU7" s="202" t="s">
        <v>13</v>
      </c>
      <c r="AV7" s="203"/>
      <c r="AW7" s="203"/>
      <c r="AX7" s="203"/>
      <c r="AY7" s="203"/>
      <c r="AZ7" s="204" t="s">
        <v>19</v>
      </c>
      <c r="BA7" s="203"/>
      <c r="BB7" s="203"/>
      <c r="BC7" s="203"/>
      <c r="BD7" s="205"/>
      <c r="BE7" s="202" t="s">
        <v>13</v>
      </c>
      <c r="BF7" s="203"/>
      <c r="BG7" s="203"/>
      <c r="BH7" s="203"/>
      <c r="BI7" s="203"/>
      <c r="BJ7" s="204" t="s">
        <v>19</v>
      </c>
      <c r="BK7" s="203"/>
      <c r="BL7" s="203"/>
      <c r="BM7" s="203"/>
      <c r="BN7" s="205"/>
      <c r="BO7" s="202" t="s">
        <v>13</v>
      </c>
      <c r="BP7" s="203"/>
      <c r="BQ7" s="203"/>
      <c r="BR7" s="203"/>
      <c r="BS7" s="203"/>
      <c r="BT7" s="204" t="s">
        <v>19</v>
      </c>
      <c r="BU7" s="203"/>
      <c r="BV7" s="203"/>
      <c r="BW7" s="203"/>
      <c r="BX7" s="205"/>
      <c r="BY7" s="202" t="s">
        <v>13</v>
      </c>
      <c r="BZ7" s="203"/>
      <c r="CA7" s="203"/>
      <c r="CB7" s="203"/>
      <c r="CC7" s="203"/>
      <c r="CD7" s="204" t="s">
        <v>19</v>
      </c>
      <c r="CE7" s="203"/>
      <c r="CF7" s="203"/>
      <c r="CG7" s="203"/>
      <c r="CH7" s="266"/>
      <c r="CI7" s="202" t="s">
        <v>13</v>
      </c>
      <c r="CJ7" s="203"/>
      <c r="CK7" s="203"/>
      <c r="CL7" s="203"/>
      <c r="CM7" s="203"/>
      <c r="CN7" s="204" t="s">
        <v>19</v>
      </c>
      <c r="CO7" s="203"/>
      <c r="CP7" s="203"/>
      <c r="CQ7" s="203"/>
      <c r="CR7" s="266"/>
      <c r="CS7" s="305" t="s">
        <v>20</v>
      </c>
      <c r="CT7" s="306"/>
      <c r="CU7" s="306"/>
      <c r="CV7" s="306"/>
      <c r="CW7" s="306"/>
      <c r="CX7" s="306" t="s">
        <v>19</v>
      </c>
      <c r="CY7" s="306"/>
      <c r="CZ7" s="306"/>
      <c r="DA7" s="306"/>
      <c r="DB7" s="307"/>
    </row>
    <row r="8" spans="2:106" ht="18"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1"/>
      <c r="N8" s="122"/>
      <c r="O8" s="120"/>
      <c r="P8" s="123"/>
      <c r="Q8" s="124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7"/>
      <c r="AU8" s="118"/>
      <c r="AV8" s="112"/>
      <c r="AW8" s="112"/>
      <c r="AX8" s="112"/>
      <c r="AY8" s="112"/>
      <c r="AZ8" s="113"/>
      <c r="BA8" s="113"/>
      <c r="BB8" s="113"/>
      <c r="BC8" s="113"/>
      <c r="BD8" s="113"/>
      <c r="BE8" s="112"/>
      <c r="BF8" s="112"/>
      <c r="BG8" s="112"/>
      <c r="BH8" s="112"/>
      <c r="BI8" s="112"/>
      <c r="BJ8" s="113"/>
      <c r="BK8" s="113"/>
      <c r="BL8" s="113"/>
      <c r="BM8" s="113"/>
      <c r="BN8" s="113"/>
      <c r="BO8" s="112"/>
      <c r="BP8" s="112"/>
      <c r="BQ8" s="112"/>
      <c r="BR8" s="112"/>
      <c r="BS8" s="112"/>
      <c r="BT8" s="113"/>
      <c r="BU8" s="113"/>
      <c r="BV8" s="113"/>
      <c r="BW8" s="113"/>
      <c r="BX8" s="113"/>
      <c r="BY8" s="112"/>
      <c r="BZ8" s="112"/>
      <c r="CA8" s="112"/>
      <c r="CB8" s="112"/>
      <c r="CC8" s="112"/>
      <c r="CD8" s="113"/>
      <c r="CE8" s="113"/>
      <c r="CF8" s="113"/>
      <c r="CG8" s="113"/>
      <c r="CH8" s="114"/>
      <c r="CI8" s="428" t="str">
        <f t="shared" ref="CI8:CI17" si="0">IF(B8="","",SUM(AU8,BE8,BO8,BY8))</f>
        <v/>
      </c>
      <c r="CJ8" s="429"/>
      <c r="CK8" s="429"/>
      <c r="CL8" s="429"/>
      <c r="CM8" s="430"/>
      <c r="CN8" s="431" t="str">
        <f t="shared" ref="CN8:CN17" si="1">IF(B8="","",SUM(AZ8,BJ8,BT8,CD8))</f>
        <v/>
      </c>
      <c r="CO8" s="432"/>
      <c r="CP8" s="432"/>
      <c r="CQ8" s="432"/>
      <c r="CR8" s="433"/>
      <c r="CS8" s="118"/>
      <c r="CT8" s="112"/>
      <c r="CU8" s="112"/>
      <c r="CV8" s="112"/>
      <c r="CW8" s="112"/>
      <c r="CX8" s="112"/>
      <c r="CY8" s="112"/>
      <c r="CZ8" s="112"/>
      <c r="DA8" s="112"/>
      <c r="DB8" s="115"/>
    </row>
    <row r="9" spans="2:106" s="85" customFormat="1" ht="18">
      <c r="B9" s="270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2"/>
      <c r="N9" s="284"/>
      <c r="O9" s="271"/>
      <c r="P9" s="285"/>
      <c r="Q9" s="198"/>
      <c r="R9" s="185"/>
      <c r="S9" s="185"/>
      <c r="T9" s="185"/>
      <c r="U9" s="185"/>
      <c r="V9" s="185"/>
      <c r="W9" s="185"/>
      <c r="X9" s="185"/>
      <c r="Y9" s="185"/>
      <c r="Z9" s="185"/>
      <c r="AA9" s="185"/>
      <c r="AB9" s="185"/>
      <c r="AC9" s="185"/>
      <c r="AD9" s="185"/>
      <c r="AE9" s="185"/>
      <c r="AF9" s="185"/>
      <c r="AG9" s="185"/>
      <c r="AH9" s="185"/>
      <c r="AI9" s="185"/>
      <c r="AJ9" s="185"/>
      <c r="AK9" s="185"/>
      <c r="AL9" s="185"/>
      <c r="AM9" s="185"/>
      <c r="AN9" s="185"/>
      <c r="AO9" s="185"/>
      <c r="AP9" s="185"/>
      <c r="AQ9" s="185"/>
      <c r="AR9" s="185"/>
      <c r="AS9" s="185"/>
      <c r="AT9" s="186"/>
      <c r="AU9" s="381"/>
      <c r="AV9" s="325"/>
      <c r="AW9" s="325"/>
      <c r="AX9" s="325"/>
      <c r="AY9" s="325"/>
      <c r="AZ9" s="313"/>
      <c r="BA9" s="313"/>
      <c r="BB9" s="313"/>
      <c r="BC9" s="313"/>
      <c r="BD9" s="313"/>
      <c r="BE9" s="325"/>
      <c r="BF9" s="325"/>
      <c r="BG9" s="325"/>
      <c r="BH9" s="325"/>
      <c r="BI9" s="325"/>
      <c r="BJ9" s="313"/>
      <c r="BK9" s="313"/>
      <c r="BL9" s="313"/>
      <c r="BM9" s="313"/>
      <c r="BN9" s="313"/>
      <c r="BO9" s="325"/>
      <c r="BP9" s="325"/>
      <c r="BQ9" s="325"/>
      <c r="BR9" s="325"/>
      <c r="BS9" s="325"/>
      <c r="BT9" s="313"/>
      <c r="BU9" s="313"/>
      <c r="BV9" s="313"/>
      <c r="BW9" s="313"/>
      <c r="BX9" s="313"/>
      <c r="BY9" s="325"/>
      <c r="BZ9" s="325"/>
      <c r="CA9" s="325"/>
      <c r="CB9" s="325"/>
      <c r="CC9" s="325"/>
      <c r="CD9" s="313"/>
      <c r="CE9" s="313"/>
      <c r="CF9" s="313"/>
      <c r="CG9" s="313"/>
      <c r="CH9" s="354"/>
      <c r="CI9" s="341" t="str">
        <f t="shared" si="0"/>
        <v/>
      </c>
      <c r="CJ9" s="342"/>
      <c r="CK9" s="342"/>
      <c r="CL9" s="342"/>
      <c r="CM9" s="343"/>
      <c r="CN9" s="344" t="str">
        <f t="shared" si="1"/>
        <v/>
      </c>
      <c r="CO9" s="345"/>
      <c r="CP9" s="345"/>
      <c r="CQ9" s="345"/>
      <c r="CR9" s="346"/>
      <c r="CS9" s="381"/>
      <c r="CT9" s="325"/>
      <c r="CU9" s="325"/>
      <c r="CV9" s="325"/>
      <c r="CW9" s="325"/>
      <c r="CX9" s="325"/>
      <c r="CY9" s="325"/>
      <c r="CZ9" s="325"/>
      <c r="DA9" s="325"/>
      <c r="DB9" s="382"/>
    </row>
    <row r="10" spans="2:106" ht="18">
      <c r="B10" s="238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40"/>
      <c r="N10" s="294"/>
      <c r="O10" s="239"/>
      <c r="P10" s="295"/>
      <c r="Q10" s="208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9"/>
      <c r="AU10" s="338"/>
      <c r="AV10" s="331"/>
      <c r="AW10" s="331"/>
      <c r="AX10" s="331"/>
      <c r="AY10" s="331"/>
      <c r="AZ10" s="321"/>
      <c r="BA10" s="321"/>
      <c r="BB10" s="321"/>
      <c r="BC10" s="321"/>
      <c r="BD10" s="321"/>
      <c r="BE10" s="331"/>
      <c r="BF10" s="331"/>
      <c r="BG10" s="331"/>
      <c r="BH10" s="331"/>
      <c r="BI10" s="331"/>
      <c r="BJ10" s="321"/>
      <c r="BK10" s="321"/>
      <c r="BL10" s="321"/>
      <c r="BM10" s="321"/>
      <c r="BN10" s="321"/>
      <c r="BO10" s="331"/>
      <c r="BP10" s="331"/>
      <c r="BQ10" s="331"/>
      <c r="BR10" s="331"/>
      <c r="BS10" s="331"/>
      <c r="BT10" s="321"/>
      <c r="BU10" s="321"/>
      <c r="BV10" s="321"/>
      <c r="BW10" s="321"/>
      <c r="BX10" s="321"/>
      <c r="BY10" s="331"/>
      <c r="BZ10" s="331"/>
      <c r="CA10" s="331"/>
      <c r="CB10" s="331"/>
      <c r="CC10" s="331"/>
      <c r="CD10" s="321"/>
      <c r="CE10" s="321"/>
      <c r="CF10" s="321"/>
      <c r="CG10" s="321"/>
      <c r="CH10" s="352"/>
      <c r="CI10" s="395" t="str">
        <f>IF(B10="","",SUM(AU10,BE10,BO10,BY10))</f>
        <v/>
      </c>
      <c r="CJ10" s="396"/>
      <c r="CK10" s="396"/>
      <c r="CL10" s="396"/>
      <c r="CM10" s="397"/>
      <c r="CN10" s="398" t="str">
        <f>IF(B10="","",SUM(AZ10,BJ10,BT10,CD10))</f>
        <v/>
      </c>
      <c r="CO10" s="399"/>
      <c r="CP10" s="399"/>
      <c r="CQ10" s="399"/>
      <c r="CR10" s="400"/>
      <c r="CS10" s="338"/>
      <c r="CT10" s="331"/>
      <c r="CU10" s="331"/>
      <c r="CV10" s="331"/>
      <c r="CW10" s="331"/>
      <c r="CX10" s="331"/>
      <c r="CY10" s="331"/>
      <c r="CZ10" s="331"/>
      <c r="DA10" s="331"/>
      <c r="DB10" s="339"/>
    </row>
    <row r="11" spans="2:106" ht="20.100000000000001" customHeight="1">
      <c r="B11" s="235"/>
      <c r="C11" s="236"/>
      <c r="D11" s="236"/>
      <c r="E11" s="236"/>
      <c r="F11" s="236"/>
      <c r="G11" s="236"/>
      <c r="H11" s="236"/>
      <c r="I11" s="236"/>
      <c r="J11" s="236"/>
      <c r="K11" s="236"/>
      <c r="L11" s="236"/>
      <c r="M11" s="237"/>
      <c r="N11" s="292"/>
      <c r="O11" s="236"/>
      <c r="P11" s="293"/>
      <c r="Q11" s="207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4"/>
      <c r="AU11" s="441"/>
      <c r="AV11" s="330"/>
      <c r="AW11" s="330"/>
      <c r="AX11" s="330"/>
      <c r="AY11" s="330"/>
      <c r="AZ11" s="317"/>
      <c r="BA11" s="317"/>
      <c r="BB11" s="317"/>
      <c r="BC11" s="317"/>
      <c r="BD11" s="317"/>
      <c r="BE11" s="330"/>
      <c r="BF11" s="330"/>
      <c r="BG11" s="330"/>
      <c r="BH11" s="330"/>
      <c r="BI11" s="330"/>
      <c r="BJ11" s="317"/>
      <c r="BK11" s="317"/>
      <c r="BL11" s="317"/>
      <c r="BM11" s="317"/>
      <c r="BN11" s="317"/>
      <c r="BO11" s="330"/>
      <c r="BP11" s="330"/>
      <c r="BQ11" s="330"/>
      <c r="BR11" s="330"/>
      <c r="BS11" s="330"/>
      <c r="BT11" s="317"/>
      <c r="BU11" s="317"/>
      <c r="BV11" s="317"/>
      <c r="BW11" s="317"/>
      <c r="BX11" s="317"/>
      <c r="BY11" s="330"/>
      <c r="BZ11" s="330"/>
      <c r="CA11" s="330"/>
      <c r="CB11" s="330"/>
      <c r="CC11" s="330"/>
      <c r="CD11" s="317"/>
      <c r="CE11" s="317"/>
      <c r="CF11" s="317"/>
      <c r="CG11" s="317"/>
      <c r="CH11" s="351"/>
      <c r="CI11" s="364" t="str">
        <f t="shared" si="0"/>
        <v/>
      </c>
      <c r="CJ11" s="365"/>
      <c r="CK11" s="365"/>
      <c r="CL11" s="365"/>
      <c r="CM11" s="366"/>
      <c r="CN11" s="408" t="str">
        <f t="shared" si="1"/>
        <v/>
      </c>
      <c r="CO11" s="409"/>
      <c r="CP11" s="409"/>
      <c r="CQ11" s="409"/>
      <c r="CR11" s="410"/>
      <c r="CS11" s="441"/>
      <c r="CT11" s="330"/>
      <c r="CU11" s="330"/>
      <c r="CV11" s="330"/>
      <c r="CW11" s="330"/>
      <c r="CX11" s="330"/>
      <c r="CY11" s="330"/>
      <c r="CZ11" s="330"/>
      <c r="DA11" s="330"/>
      <c r="DB11" s="337"/>
    </row>
    <row r="12" spans="2:106" ht="20.100000000000001" customHeight="1">
      <c r="B12" s="229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1"/>
      <c r="N12" s="288"/>
      <c r="O12" s="230"/>
      <c r="P12" s="289"/>
      <c r="Q12" s="200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8"/>
      <c r="AU12" s="357"/>
      <c r="AV12" s="327"/>
      <c r="AW12" s="327"/>
      <c r="AX12" s="327"/>
      <c r="AY12" s="327"/>
      <c r="AZ12" s="315"/>
      <c r="BA12" s="315"/>
      <c r="BB12" s="315"/>
      <c r="BC12" s="315"/>
      <c r="BD12" s="315"/>
      <c r="BE12" s="327"/>
      <c r="BF12" s="327"/>
      <c r="BG12" s="327"/>
      <c r="BH12" s="327"/>
      <c r="BI12" s="327"/>
      <c r="BJ12" s="315"/>
      <c r="BK12" s="315"/>
      <c r="BL12" s="315"/>
      <c r="BM12" s="315"/>
      <c r="BN12" s="315"/>
      <c r="BO12" s="327"/>
      <c r="BP12" s="327"/>
      <c r="BQ12" s="327"/>
      <c r="BR12" s="327"/>
      <c r="BS12" s="327"/>
      <c r="BT12" s="315"/>
      <c r="BU12" s="315"/>
      <c r="BV12" s="315"/>
      <c r="BW12" s="315"/>
      <c r="BX12" s="315"/>
      <c r="BY12" s="327"/>
      <c r="BZ12" s="327"/>
      <c r="CA12" s="327"/>
      <c r="CB12" s="327"/>
      <c r="CC12" s="327"/>
      <c r="CD12" s="315"/>
      <c r="CE12" s="315"/>
      <c r="CF12" s="315"/>
      <c r="CG12" s="315"/>
      <c r="CH12" s="349"/>
      <c r="CI12" s="435" t="str">
        <f t="shared" si="0"/>
        <v/>
      </c>
      <c r="CJ12" s="436"/>
      <c r="CK12" s="436"/>
      <c r="CL12" s="436"/>
      <c r="CM12" s="437"/>
      <c r="CN12" s="438" t="str">
        <f t="shared" si="1"/>
        <v/>
      </c>
      <c r="CO12" s="439"/>
      <c r="CP12" s="439"/>
      <c r="CQ12" s="439"/>
      <c r="CR12" s="440"/>
      <c r="CS12" s="357"/>
      <c r="CT12" s="327"/>
      <c r="CU12" s="327"/>
      <c r="CV12" s="327"/>
      <c r="CW12" s="327"/>
      <c r="CX12" s="327"/>
      <c r="CY12" s="327"/>
      <c r="CZ12" s="327"/>
      <c r="DA12" s="327"/>
      <c r="DB12" s="434"/>
    </row>
    <row r="13" spans="2:106" ht="20.100000000000001" customHeight="1">
      <c r="B13" s="24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48"/>
      <c r="N13" s="216"/>
      <c r="O13" s="217"/>
      <c r="P13" s="218"/>
      <c r="Q13" s="302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4"/>
      <c r="AU13" s="443"/>
      <c r="AV13" s="318"/>
      <c r="AW13" s="318"/>
      <c r="AX13" s="318"/>
      <c r="AY13" s="318"/>
      <c r="AZ13" s="282"/>
      <c r="BA13" s="282"/>
      <c r="BB13" s="282"/>
      <c r="BC13" s="282"/>
      <c r="BD13" s="282"/>
      <c r="BE13" s="318"/>
      <c r="BF13" s="318"/>
      <c r="BG13" s="318"/>
      <c r="BH13" s="318"/>
      <c r="BI13" s="318"/>
      <c r="BJ13" s="282"/>
      <c r="BK13" s="282"/>
      <c r="BL13" s="282"/>
      <c r="BM13" s="282"/>
      <c r="BN13" s="282"/>
      <c r="BO13" s="318"/>
      <c r="BP13" s="318"/>
      <c r="BQ13" s="318"/>
      <c r="BR13" s="318"/>
      <c r="BS13" s="318"/>
      <c r="BT13" s="282"/>
      <c r="BU13" s="282"/>
      <c r="BV13" s="282"/>
      <c r="BW13" s="282"/>
      <c r="BX13" s="282"/>
      <c r="BY13" s="318"/>
      <c r="BZ13" s="318"/>
      <c r="CA13" s="318"/>
      <c r="CB13" s="318"/>
      <c r="CC13" s="318"/>
      <c r="CD13" s="282"/>
      <c r="CE13" s="282"/>
      <c r="CF13" s="282"/>
      <c r="CG13" s="282"/>
      <c r="CH13" s="355"/>
      <c r="CI13" s="383" t="str">
        <f t="shared" si="0"/>
        <v/>
      </c>
      <c r="CJ13" s="384"/>
      <c r="CK13" s="384"/>
      <c r="CL13" s="384"/>
      <c r="CM13" s="385"/>
      <c r="CN13" s="386" t="str">
        <f t="shared" si="1"/>
        <v/>
      </c>
      <c r="CO13" s="387"/>
      <c r="CP13" s="387"/>
      <c r="CQ13" s="387"/>
      <c r="CR13" s="388"/>
      <c r="CS13" s="443"/>
      <c r="CT13" s="318"/>
      <c r="CU13" s="318"/>
      <c r="CV13" s="318"/>
      <c r="CW13" s="318"/>
      <c r="CX13" s="318"/>
      <c r="CY13" s="318"/>
      <c r="CZ13" s="318"/>
      <c r="DA13" s="318"/>
      <c r="DB13" s="444"/>
    </row>
    <row r="14" spans="2:106" ht="20.100000000000001" customHeight="1">
      <c r="B14" s="249"/>
      <c r="C14" s="220"/>
      <c r="D14" s="220"/>
      <c r="E14" s="220"/>
      <c r="F14" s="220"/>
      <c r="G14" s="220"/>
      <c r="H14" s="220"/>
      <c r="I14" s="220"/>
      <c r="J14" s="220"/>
      <c r="K14" s="220"/>
      <c r="L14" s="220"/>
      <c r="M14" s="250"/>
      <c r="N14" s="219"/>
      <c r="O14" s="220"/>
      <c r="P14" s="221"/>
      <c r="Q14" s="303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6"/>
      <c r="AU14" s="445"/>
      <c r="AV14" s="319"/>
      <c r="AW14" s="319"/>
      <c r="AX14" s="319"/>
      <c r="AY14" s="319"/>
      <c r="AZ14" s="283"/>
      <c r="BA14" s="283"/>
      <c r="BB14" s="283"/>
      <c r="BC14" s="283"/>
      <c r="BD14" s="283"/>
      <c r="BE14" s="319"/>
      <c r="BF14" s="319"/>
      <c r="BG14" s="319"/>
      <c r="BH14" s="319"/>
      <c r="BI14" s="319"/>
      <c r="BJ14" s="283"/>
      <c r="BK14" s="283"/>
      <c r="BL14" s="283"/>
      <c r="BM14" s="283"/>
      <c r="BN14" s="283"/>
      <c r="BO14" s="319"/>
      <c r="BP14" s="319"/>
      <c r="BQ14" s="319"/>
      <c r="BR14" s="319"/>
      <c r="BS14" s="319"/>
      <c r="BT14" s="283"/>
      <c r="BU14" s="283"/>
      <c r="BV14" s="283"/>
      <c r="BW14" s="283"/>
      <c r="BX14" s="283"/>
      <c r="BY14" s="319"/>
      <c r="BZ14" s="319"/>
      <c r="CA14" s="319"/>
      <c r="CB14" s="319"/>
      <c r="CC14" s="319"/>
      <c r="CD14" s="283"/>
      <c r="CE14" s="283"/>
      <c r="CF14" s="283"/>
      <c r="CG14" s="283"/>
      <c r="CH14" s="356"/>
      <c r="CI14" s="389" t="str">
        <f t="shared" si="0"/>
        <v/>
      </c>
      <c r="CJ14" s="390"/>
      <c r="CK14" s="390"/>
      <c r="CL14" s="390"/>
      <c r="CM14" s="391"/>
      <c r="CN14" s="392" t="str">
        <f t="shared" si="1"/>
        <v/>
      </c>
      <c r="CO14" s="393"/>
      <c r="CP14" s="393"/>
      <c r="CQ14" s="393"/>
      <c r="CR14" s="394"/>
      <c r="CS14" s="445"/>
      <c r="CT14" s="319"/>
      <c r="CU14" s="319"/>
      <c r="CV14" s="319"/>
      <c r="CW14" s="319"/>
      <c r="CX14" s="319"/>
      <c r="CY14" s="319"/>
      <c r="CZ14" s="319"/>
      <c r="DA14" s="319"/>
      <c r="DB14" s="446"/>
    </row>
    <row r="15" spans="2:106" ht="18">
      <c r="B15" s="267"/>
      <c r="C15" s="268"/>
      <c r="D15" s="268"/>
      <c r="E15" s="268"/>
      <c r="F15" s="268"/>
      <c r="G15" s="268"/>
      <c r="H15" s="268"/>
      <c r="I15" s="268"/>
      <c r="J15" s="268"/>
      <c r="K15" s="268"/>
      <c r="L15" s="268"/>
      <c r="M15" s="269"/>
      <c r="N15" s="300"/>
      <c r="O15" s="268"/>
      <c r="P15" s="301"/>
      <c r="Q15" s="197"/>
      <c r="R15" s="190"/>
      <c r="S15" s="190"/>
      <c r="T15" s="190"/>
      <c r="U15" s="190"/>
      <c r="V15" s="190"/>
      <c r="W15" s="190"/>
      <c r="X15" s="190"/>
      <c r="Y15" s="190"/>
      <c r="Z15" s="190"/>
      <c r="AA15" s="190"/>
      <c r="AB15" s="190"/>
      <c r="AC15" s="190"/>
      <c r="AD15" s="190"/>
      <c r="AE15" s="190"/>
      <c r="AF15" s="190"/>
      <c r="AG15" s="190"/>
      <c r="AH15" s="190"/>
      <c r="AI15" s="190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1"/>
      <c r="AU15" s="379"/>
      <c r="AV15" s="328"/>
      <c r="AW15" s="328"/>
      <c r="AX15" s="328"/>
      <c r="AY15" s="328"/>
      <c r="AZ15" s="312"/>
      <c r="BA15" s="312"/>
      <c r="BB15" s="312"/>
      <c r="BC15" s="312"/>
      <c r="BD15" s="312"/>
      <c r="BE15" s="328"/>
      <c r="BF15" s="328"/>
      <c r="BG15" s="328"/>
      <c r="BH15" s="328"/>
      <c r="BI15" s="328"/>
      <c r="BJ15" s="312"/>
      <c r="BK15" s="312"/>
      <c r="BL15" s="312"/>
      <c r="BM15" s="312"/>
      <c r="BN15" s="312"/>
      <c r="BO15" s="328"/>
      <c r="BP15" s="328"/>
      <c r="BQ15" s="328"/>
      <c r="BR15" s="328"/>
      <c r="BS15" s="328"/>
      <c r="BT15" s="312"/>
      <c r="BU15" s="312"/>
      <c r="BV15" s="312"/>
      <c r="BW15" s="312"/>
      <c r="BX15" s="312"/>
      <c r="BY15" s="328"/>
      <c r="BZ15" s="328"/>
      <c r="CA15" s="328"/>
      <c r="CB15" s="328"/>
      <c r="CC15" s="328"/>
      <c r="CD15" s="312"/>
      <c r="CE15" s="312"/>
      <c r="CF15" s="312"/>
      <c r="CG15" s="312"/>
      <c r="CH15" s="335"/>
      <c r="CI15" s="411" t="str">
        <f t="shared" si="0"/>
        <v/>
      </c>
      <c r="CJ15" s="412"/>
      <c r="CK15" s="412"/>
      <c r="CL15" s="412"/>
      <c r="CM15" s="413"/>
      <c r="CN15" s="414" t="str">
        <f t="shared" si="1"/>
        <v/>
      </c>
      <c r="CO15" s="415"/>
      <c r="CP15" s="415"/>
      <c r="CQ15" s="415"/>
      <c r="CR15" s="416"/>
      <c r="CS15" s="379"/>
      <c r="CT15" s="328"/>
      <c r="CU15" s="328"/>
      <c r="CV15" s="328"/>
      <c r="CW15" s="328"/>
      <c r="CX15" s="328"/>
      <c r="CY15" s="328"/>
      <c r="CZ15" s="328"/>
      <c r="DA15" s="328"/>
      <c r="DB15" s="380"/>
    </row>
    <row r="16" spans="2:106" ht="20.100000000000001" customHeight="1">
      <c r="B16" s="244"/>
      <c r="C16" s="245"/>
      <c r="D16" s="245"/>
      <c r="E16" s="245"/>
      <c r="F16" s="245"/>
      <c r="G16" s="245"/>
      <c r="H16" s="245"/>
      <c r="I16" s="245"/>
      <c r="J16" s="245"/>
      <c r="K16" s="245"/>
      <c r="L16" s="245"/>
      <c r="M16" s="246"/>
      <c r="N16" s="298"/>
      <c r="O16" s="245"/>
      <c r="P16" s="299"/>
      <c r="Q16" s="253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80"/>
      <c r="AU16" s="347"/>
      <c r="AV16" s="324"/>
      <c r="AW16" s="324"/>
      <c r="AX16" s="324"/>
      <c r="AY16" s="324"/>
      <c r="AZ16" s="323"/>
      <c r="BA16" s="323"/>
      <c r="BB16" s="323"/>
      <c r="BC16" s="323"/>
      <c r="BD16" s="323"/>
      <c r="BE16" s="324"/>
      <c r="BF16" s="324"/>
      <c r="BG16" s="324"/>
      <c r="BH16" s="324"/>
      <c r="BI16" s="324"/>
      <c r="BJ16" s="323"/>
      <c r="BK16" s="323"/>
      <c r="BL16" s="323"/>
      <c r="BM16" s="323"/>
      <c r="BN16" s="323"/>
      <c r="BO16" s="324"/>
      <c r="BP16" s="324"/>
      <c r="BQ16" s="324"/>
      <c r="BR16" s="324"/>
      <c r="BS16" s="324"/>
      <c r="BT16" s="323"/>
      <c r="BU16" s="323"/>
      <c r="BV16" s="323"/>
      <c r="BW16" s="323"/>
      <c r="BX16" s="323"/>
      <c r="BY16" s="324"/>
      <c r="BZ16" s="324"/>
      <c r="CA16" s="324"/>
      <c r="CB16" s="324"/>
      <c r="CC16" s="324"/>
      <c r="CD16" s="323"/>
      <c r="CE16" s="323"/>
      <c r="CF16" s="323"/>
      <c r="CG16" s="323"/>
      <c r="CH16" s="334"/>
      <c r="CI16" s="453" t="str">
        <f t="shared" si="0"/>
        <v/>
      </c>
      <c r="CJ16" s="454"/>
      <c r="CK16" s="454"/>
      <c r="CL16" s="454"/>
      <c r="CM16" s="455"/>
      <c r="CN16" s="456" t="str">
        <f t="shared" si="1"/>
        <v/>
      </c>
      <c r="CO16" s="457"/>
      <c r="CP16" s="457"/>
      <c r="CQ16" s="457"/>
      <c r="CR16" s="458"/>
      <c r="CS16" s="347"/>
      <c r="CT16" s="324"/>
      <c r="CU16" s="324"/>
      <c r="CV16" s="324"/>
      <c r="CW16" s="324"/>
      <c r="CX16" s="324"/>
      <c r="CY16" s="324"/>
      <c r="CZ16" s="324"/>
      <c r="DA16" s="324"/>
      <c r="DB16" s="442"/>
    </row>
    <row r="17" spans="2:107" ht="20.100000000000001" customHeight="1">
      <c r="B17" s="232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4"/>
      <c r="N17" s="290"/>
      <c r="O17" s="233"/>
      <c r="P17" s="291"/>
      <c r="Q17" s="206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3"/>
      <c r="AU17" s="426"/>
      <c r="AV17" s="329"/>
      <c r="AW17" s="329"/>
      <c r="AX17" s="329"/>
      <c r="AY17" s="329"/>
      <c r="AZ17" s="316"/>
      <c r="BA17" s="316"/>
      <c r="BB17" s="316"/>
      <c r="BC17" s="316"/>
      <c r="BD17" s="316"/>
      <c r="BE17" s="329"/>
      <c r="BF17" s="329"/>
      <c r="BG17" s="329"/>
      <c r="BH17" s="329"/>
      <c r="BI17" s="329"/>
      <c r="BJ17" s="316"/>
      <c r="BK17" s="316"/>
      <c r="BL17" s="316"/>
      <c r="BM17" s="316"/>
      <c r="BN17" s="316"/>
      <c r="BO17" s="329"/>
      <c r="BP17" s="329"/>
      <c r="BQ17" s="329"/>
      <c r="BR17" s="329"/>
      <c r="BS17" s="329"/>
      <c r="BT17" s="316"/>
      <c r="BU17" s="316"/>
      <c r="BV17" s="316"/>
      <c r="BW17" s="316"/>
      <c r="BX17" s="316"/>
      <c r="BY17" s="329"/>
      <c r="BZ17" s="329"/>
      <c r="CA17" s="329"/>
      <c r="CB17" s="329"/>
      <c r="CC17" s="329"/>
      <c r="CD17" s="316"/>
      <c r="CE17" s="316"/>
      <c r="CF17" s="316"/>
      <c r="CG17" s="316"/>
      <c r="CH17" s="350"/>
      <c r="CI17" s="358" t="str">
        <f t="shared" si="0"/>
        <v/>
      </c>
      <c r="CJ17" s="359"/>
      <c r="CK17" s="359"/>
      <c r="CL17" s="359"/>
      <c r="CM17" s="360"/>
      <c r="CN17" s="361" t="str">
        <f t="shared" si="1"/>
        <v/>
      </c>
      <c r="CO17" s="362"/>
      <c r="CP17" s="362"/>
      <c r="CQ17" s="362"/>
      <c r="CR17" s="363"/>
      <c r="CS17" s="426"/>
      <c r="CT17" s="329"/>
      <c r="CU17" s="329"/>
      <c r="CV17" s="329"/>
      <c r="CW17" s="329"/>
      <c r="CX17" s="329"/>
      <c r="CY17" s="329"/>
      <c r="CZ17" s="329"/>
      <c r="DA17" s="329"/>
      <c r="DB17" s="427"/>
    </row>
    <row r="18" spans="2:107" ht="20.100000000000001" customHeight="1">
      <c r="B18" s="241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3"/>
      <c r="N18" s="296"/>
      <c r="O18" s="242"/>
      <c r="P18" s="297"/>
      <c r="Q18" s="209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177"/>
      <c r="AS18" s="177"/>
      <c r="AT18" s="178"/>
      <c r="AU18" s="474"/>
      <c r="AV18" s="332"/>
      <c r="AW18" s="332"/>
      <c r="AX18" s="332"/>
      <c r="AY18" s="332"/>
      <c r="AZ18" s="322"/>
      <c r="BA18" s="322"/>
      <c r="BB18" s="322"/>
      <c r="BC18" s="322"/>
      <c r="BD18" s="322"/>
      <c r="BE18" s="332"/>
      <c r="BF18" s="332"/>
      <c r="BG18" s="332"/>
      <c r="BH18" s="332"/>
      <c r="BI18" s="332"/>
      <c r="BJ18" s="322"/>
      <c r="BK18" s="322"/>
      <c r="BL18" s="322"/>
      <c r="BM18" s="322"/>
      <c r="BN18" s="322"/>
      <c r="BO18" s="332"/>
      <c r="BP18" s="332"/>
      <c r="BQ18" s="332"/>
      <c r="BR18" s="332"/>
      <c r="BS18" s="332"/>
      <c r="BT18" s="322"/>
      <c r="BU18" s="322"/>
      <c r="BV18" s="322"/>
      <c r="BW18" s="322"/>
      <c r="BX18" s="322"/>
      <c r="BY18" s="332"/>
      <c r="BZ18" s="332"/>
      <c r="CA18" s="332"/>
      <c r="CB18" s="332"/>
      <c r="CC18" s="332"/>
      <c r="CD18" s="322"/>
      <c r="CE18" s="322"/>
      <c r="CF18" s="322"/>
      <c r="CG18" s="322"/>
      <c r="CH18" s="353"/>
      <c r="CI18" s="401" t="str">
        <f t="shared" ref="CI18" si="2">IF(B18="","",SUM(AU18,BE18,BO18,BY18))</f>
        <v/>
      </c>
      <c r="CJ18" s="402"/>
      <c r="CK18" s="402"/>
      <c r="CL18" s="402"/>
      <c r="CM18" s="403"/>
      <c r="CN18" s="404" t="str">
        <f t="shared" ref="CN18" si="3">IF(B18="","",SUM(AZ18,BJ18,BT18,CD18))</f>
        <v/>
      </c>
      <c r="CO18" s="405"/>
      <c r="CP18" s="405"/>
      <c r="CQ18" s="405"/>
      <c r="CR18" s="406"/>
      <c r="CS18" s="474"/>
      <c r="CT18" s="332"/>
      <c r="CU18" s="332"/>
      <c r="CV18" s="332"/>
      <c r="CW18" s="332"/>
      <c r="CX18" s="332"/>
      <c r="CY18" s="332"/>
      <c r="CZ18" s="332"/>
      <c r="DA18" s="332"/>
      <c r="DB18" s="495"/>
    </row>
    <row r="19" spans="2:107" ht="20.100000000000001" customHeight="1">
      <c r="B19" s="273"/>
      <c r="C19" s="274"/>
      <c r="D19" s="274"/>
      <c r="E19" s="274"/>
      <c r="F19" s="274"/>
      <c r="G19" s="274"/>
      <c r="H19" s="274"/>
      <c r="I19" s="274"/>
      <c r="J19" s="274"/>
      <c r="K19" s="274"/>
      <c r="L19" s="274"/>
      <c r="M19" s="275"/>
      <c r="N19" s="286"/>
      <c r="O19" s="274"/>
      <c r="P19" s="287"/>
      <c r="Q19" s="199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304"/>
      <c r="AU19" s="417"/>
      <c r="AV19" s="326"/>
      <c r="AW19" s="326"/>
      <c r="AX19" s="326"/>
      <c r="AY19" s="326"/>
      <c r="AZ19" s="314"/>
      <c r="BA19" s="314"/>
      <c r="BB19" s="314"/>
      <c r="BC19" s="314"/>
      <c r="BD19" s="314"/>
      <c r="BE19" s="326"/>
      <c r="BF19" s="326"/>
      <c r="BG19" s="326"/>
      <c r="BH19" s="326"/>
      <c r="BI19" s="326"/>
      <c r="BJ19" s="314"/>
      <c r="BK19" s="314"/>
      <c r="BL19" s="314"/>
      <c r="BM19" s="314"/>
      <c r="BN19" s="314"/>
      <c r="BO19" s="326"/>
      <c r="BP19" s="326"/>
      <c r="BQ19" s="326"/>
      <c r="BR19" s="326"/>
      <c r="BS19" s="326"/>
      <c r="BT19" s="314"/>
      <c r="BU19" s="314"/>
      <c r="BV19" s="314"/>
      <c r="BW19" s="314"/>
      <c r="BX19" s="314"/>
      <c r="BY19" s="326"/>
      <c r="BZ19" s="326"/>
      <c r="CA19" s="326"/>
      <c r="CB19" s="326"/>
      <c r="CC19" s="326"/>
      <c r="CD19" s="314"/>
      <c r="CE19" s="314"/>
      <c r="CF19" s="314"/>
      <c r="CG19" s="314"/>
      <c r="CH19" s="348"/>
      <c r="CI19" s="447" t="str">
        <f>IF(B19="","",SUM(AU19,BE19,BO19,BY19))</f>
        <v/>
      </c>
      <c r="CJ19" s="448"/>
      <c r="CK19" s="448"/>
      <c r="CL19" s="448"/>
      <c r="CM19" s="449"/>
      <c r="CN19" s="450" t="str">
        <f>IF(B19="","",SUM(AZ19,BJ19,BT19,CD19))</f>
        <v/>
      </c>
      <c r="CO19" s="451"/>
      <c r="CP19" s="451"/>
      <c r="CQ19" s="451"/>
      <c r="CR19" s="452"/>
      <c r="CS19" s="417"/>
      <c r="CT19" s="326"/>
      <c r="CU19" s="326"/>
      <c r="CV19" s="326"/>
      <c r="CW19" s="326"/>
      <c r="CX19" s="326"/>
      <c r="CY19" s="326"/>
      <c r="CZ19" s="326"/>
      <c r="DA19" s="326"/>
      <c r="DB19" s="407"/>
    </row>
    <row r="20" spans="2:107" ht="20.100000000000001" customHeight="1">
      <c r="B20" s="251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52"/>
      <c r="N20" s="222"/>
      <c r="O20" s="223"/>
      <c r="P20" s="224"/>
      <c r="Q20" s="19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54"/>
      <c r="AO20" s="154"/>
      <c r="AP20" s="154"/>
      <c r="AQ20" s="154"/>
      <c r="AR20" s="154"/>
      <c r="AS20" s="154"/>
      <c r="AT20" s="155"/>
      <c r="AU20" s="459"/>
      <c r="AV20" s="320"/>
      <c r="AW20" s="320"/>
      <c r="AX20" s="320"/>
      <c r="AY20" s="320"/>
      <c r="AZ20" s="311"/>
      <c r="BA20" s="311"/>
      <c r="BB20" s="311"/>
      <c r="BC20" s="311"/>
      <c r="BD20" s="311"/>
      <c r="BE20" s="320"/>
      <c r="BF20" s="320"/>
      <c r="BG20" s="320"/>
      <c r="BH20" s="320"/>
      <c r="BI20" s="320"/>
      <c r="BJ20" s="311"/>
      <c r="BK20" s="311"/>
      <c r="BL20" s="311"/>
      <c r="BM20" s="311"/>
      <c r="BN20" s="311"/>
      <c r="BO20" s="320"/>
      <c r="BP20" s="320"/>
      <c r="BQ20" s="320"/>
      <c r="BR20" s="320"/>
      <c r="BS20" s="320"/>
      <c r="BT20" s="311"/>
      <c r="BU20" s="311"/>
      <c r="BV20" s="311"/>
      <c r="BW20" s="311"/>
      <c r="BX20" s="311"/>
      <c r="BY20" s="320"/>
      <c r="BZ20" s="320"/>
      <c r="CA20" s="320"/>
      <c r="CB20" s="320"/>
      <c r="CC20" s="320"/>
      <c r="CD20" s="311"/>
      <c r="CE20" s="311"/>
      <c r="CF20" s="311"/>
      <c r="CG20" s="311"/>
      <c r="CH20" s="333"/>
      <c r="CI20" s="373" t="str">
        <f t="shared" ref="CI20" si="4">IF(B20="","",SUM(AU20,BE20,BO20,BY20))</f>
        <v/>
      </c>
      <c r="CJ20" s="374"/>
      <c r="CK20" s="374"/>
      <c r="CL20" s="374"/>
      <c r="CM20" s="375"/>
      <c r="CN20" s="376" t="str">
        <f t="shared" ref="CN20" si="5">IF(B20="","",SUM(AZ20,BJ20,BT20,CD20))</f>
        <v/>
      </c>
      <c r="CO20" s="377"/>
      <c r="CP20" s="377"/>
      <c r="CQ20" s="377"/>
      <c r="CR20" s="378"/>
      <c r="CS20" s="459"/>
      <c r="CT20" s="320"/>
      <c r="CU20" s="320"/>
      <c r="CV20" s="320"/>
      <c r="CW20" s="320"/>
      <c r="CX20" s="320"/>
      <c r="CY20" s="320"/>
      <c r="CZ20" s="320"/>
      <c r="DA20" s="320"/>
      <c r="DB20" s="336"/>
    </row>
    <row r="21" spans="2:107" ht="20.100000000000001" customHeight="1">
      <c r="B21" s="210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2"/>
      <c r="N21" s="225"/>
      <c r="O21" s="211"/>
      <c r="P21" s="226"/>
      <c r="Q21" s="195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156"/>
      <c r="AU21" s="105"/>
      <c r="AV21" s="91"/>
      <c r="AW21" s="91"/>
      <c r="AX21" s="91"/>
      <c r="AY21" s="91"/>
      <c r="AZ21" s="101"/>
      <c r="BA21" s="101"/>
      <c r="BB21" s="101"/>
      <c r="BC21" s="101"/>
      <c r="BD21" s="101"/>
      <c r="BE21" s="91"/>
      <c r="BF21" s="91"/>
      <c r="BG21" s="91"/>
      <c r="BH21" s="91"/>
      <c r="BI21" s="91"/>
      <c r="BJ21" s="101"/>
      <c r="BK21" s="101"/>
      <c r="BL21" s="101"/>
      <c r="BM21" s="101"/>
      <c r="BN21" s="101"/>
      <c r="BO21" s="91"/>
      <c r="BP21" s="91"/>
      <c r="BQ21" s="91"/>
      <c r="BR21" s="91"/>
      <c r="BS21" s="91"/>
      <c r="BT21" s="101"/>
      <c r="BU21" s="101"/>
      <c r="BV21" s="101"/>
      <c r="BW21" s="101"/>
      <c r="BX21" s="101"/>
      <c r="BY21" s="91"/>
      <c r="BZ21" s="91"/>
      <c r="CA21" s="91"/>
      <c r="CB21" s="91"/>
      <c r="CC21" s="91"/>
      <c r="CD21" s="101"/>
      <c r="CE21" s="101"/>
      <c r="CF21" s="101"/>
      <c r="CG21" s="101"/>
      <c r="CH21" s="102"/>
      <c r="CI21" s="367" t="str">
        <f>IF(B21="","",SUM(AU21,BE21,BO21,BY21))</f>
        <v/>
      </c>
      <c r="CJ21" s="368"/>
      <c r="CK21" s="368"/>
      <c r="CL21" s="368"/>
      <c r="CM21" s="369"/>
      <c r="CN21" s="370" t="str">
        <f>IF(B21="","",SUM(AZ21,BJ21,BT21,CD21))</f>
        <v/>
      </c>
      <c r="CO21" s="371"/>
      <c r="CP21" s="371"/>
      <c r="CQ21" s="371"/>
      <c r="CR21" s="372"/>
      <c r="CS21" s="105"/>
      <c r="CT21" s="91"/>
      <c r="CU21" s="91"/>
      <c r="CV21" s="91"/>
      <c r="CW21" s="91"/>
      <c r="CX21" s="91"/>
      <c r="CY21" s="91"/>
      <c r="CZ21" s="91"/>
      <c r="DA21" s="91"/>
      <c r="DB21" s="460"/>
    </row>
    <row r="22" spans="2:107" ht="20.100000000000001" customHeight="1" thickBot="1">
      <c r="B22" s="213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5"/>
      <c r="N22" s="227"/>
      <c r="O22" s="214"/>
      <c r="P22" s="228"/>
      <c r="Q22" s="196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8"/>
      <c r="AU22" s="418"/>
      <c r="AV22" s="92"/>
      <c r="AW22" s="92"/>
      <c r="AX22" s="92"/>
      <c r="AY22" s="92"/>
      <c r="AZ22" s="103"/>
      <c r="BA22" s="103"/>
      <c r="BB22" s="103"/>
      <c r="BC22" s="103"/>
      <c r="BD22" s="103"/>
      <c r="BE22" s="92"/>
      <c r="BF22" s="92"/>
      <c r="BG22" s="92"/>
      <c r="BH22" s="92"/>
      <c r="BI22" s="92"/>
      <c r="BJ22" s="103"/>
      <c r="BK22" s="103"/>
      <c r="BL22" s="103"/>
      <c r="BM22" s="103"/>
      <c r="BN22" s="103"/>
      <c r="BO22" s="92"/>
      <c r="BP22" s="92"/>
      <c r="BQ22" s="92"/>
      <c r="BR22" s="92"/>
      <c r="BS22" s="92"/>
      <c r="BT22" s="103"/>
      <c r="BU22" s="103"/>
      <c r="BV22" s="103"/>
      <c r="BW22" s="103"/>
      <c r="BX22" s="103"/>
      <c r="BY22" s="92"/>
      <c r="BZ22" s="92"/>
      <c r="CA22" s="92"/>
      <c r="CB22" s="92"/>
      <c r="CC22" s="92"/>
      <c r="CD22" s="103"/>
      <c r="CE22" s="103"/>
      <c r="CF22" s="103"/>
      <c r="CG22" s="103"/>
      <c r="CH22" s="104"/>
      <c r="CI22" s="420" t="str">
        <f>IF(B22="","",SUM(AU22,BE22,BO22,BY22))</f>
        <v/>
      </c>
      <c r="CJ22" s="421"/>
      <c r="CK22" s="421"/>
      <c r="CL22" s="421"/>
      <c r="CM22" s="422"/>
      <c r="CN22" s="423" t="str">
        <f>IF(B22="","",SUM(AZ22,BJ22,BT22,CD22))</f>
        <v/>
      </c>
      <c r="CO22" s="424"/>
      <c r="CP22" s="424"/>
      <c r="CQ22" s="424"/>
      <c r="CR22" s="425"/>
      <c r="CS22" s="418"/>
      <c r="CT22" s="92"/>
      <c r="CU22" s="92"/>
      <c r="CV22" s="92"/>
      <c r="CW22" s="92"/>
      <c r="CX22" s="92"/>
      <c r="CY22" s="92"/>
      <c r="CZ22" s="92"/>
      <c r="DA22" s="92"/>
      <c r="DB22" s="419"/>
    </row>
    <row r="23" spans="2:107" ht="20.100000000000001" customHeight="1" thickTop="1" thickBot="1">
      <c r="B23" s="159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1">
        <f>SUM(Q7:S21)</f>
        <v>0</v>
      </c>
      <c r="R23" s="162"/>
      <c r="S23" s="163"/>
      <c r="T23" s="161">
        <f>SUM(T7:V21)</f>
        <v>0</v>
      </c>
      <c r="U23" s="162"/>
      <c r="V23" s="163"/>
      <c r="W23" s="161">
        <f>SUM(W7:Y21)</f>
        <v>0</v>
      </c>
      <c r="X23" s="162"/>
      <c r="Y23" s="163"/>
      <c r="Z23" s="161">
        <f>SUM(Z7:AB21)</f>
        <v>0</v>
      </c>
      <c r="AA23" s="162"/>
      <c r="AB23" s="163"/>
      <c r="AC23" s="161">
        <f>SUM(AC7:AE21)</f>
        <v>0</v>
      </c>
      <c r="AD23" s="162"/>
      <c r="AE23" s="163"/>
      <c r="AF23" s="161">
        <f>SUM(AF7:AH21)</f>
        <v>0</v>
      </c>
      <c r="AG23" s="162"/>
      <c r="AH23" s="163"/>
      <c r="AI23" s="161">
        <f>SUM(AI7:AK21)</f>
        <v>0</v>
      </c>
      <c r="AJ23" s="162"/>
      <c r="AK23" s="163"/>
      <c r="AL23" s="161">
        <f>SUM(AL7:AN21)</f>
        <v>0</v>
      </c>
      <c r="AM23" s="162"/>
      <c r="AN23" s="163"/>
      <c r="AO23" s="161">
        <f>SUM(AO7:AQ21)</f>
        <v>0</v>
      </c>
      <c r="AP23" s="162"/>
      <c r="AQ23" s="163"/>
      <c r="AR23" s="161">
        <f>SUM(AR7:AT21)</f>
        <v>0</v>
      </c>
      <c r="AS23" s="162"/>
      <c r="AT23" s="163"/>
      <c r="AU23" s="93">
        <f>SUM(AU7:AY21)</f>
        <v>0</v>
      </c>
      <c r="AV23" s="94"/>
      <c r="AW23" s="94"/>
      <c r="AX23" s="94"/>
      <c r="AY23" s="95"/>
      <c r="AZ23" s="98">
        <f>SUM(AZ7:BD21)</f>
        <v>0</v>
      </c>
      <c r="BA23" s="99"/>
      <c r="BB23" s="99"/>
      <c r="BC23" s="99"/>
      <c r="BD23" s="100"/>
      <c r="BE23" s="93">
        <f>SUM(BE7:BI21)</f>
        <v>0</v>
      </c>
      <c r="BF23" s="94"/>
      <c r="BG23" s="94"/>
      <c r="BH23" s="94"/>
      <c r="BI23" s="95"/>
      <c r="BJ23" s="98">
        <f>SUM(BJ7:BN21)</f>
        <v>0</v>
      </c>
      <c r="BK23" s="99"/>
      <c r="BL23" s="99"/>
      <c r="BM23" s="99"/>
      <c r="BN23" s="100"/>
      <c r="BO23" s="93">
        <f>SUM(BO7:BS21)</f>
        <v>0</v>
      </c>
      <c r="BP23" s="94"/>
      <c r="BQ23" s="94"/>
      <c r="BR23" s="94"/>
      <c r="BS23" s="95"/>
      <c r="BT23" s="98">
        <f>SUM(BT7:BX21)</f>
        <v>0</v>
      </c>
      <c r="BU23" s="99"/>
      <c r="BV23" s="99"/>
      <c r="BW23" s="99"/>
      <c r="BX23" s="100"/>
      <c r="BY23" s="93">
        <f>SUM(BY7:CC21)</f>
        <v>0</v>
      </c>
      <c r="BZ23" s="94"/>
      <c r="CA23" s="94"/>
      <c r="CB23" s="94"/>
      <c r="CC23" s="95"/>
      <c r="CD23" s="98">
        <f>SUM(CD7:CH21)</f>
        <v>0</v>
      </c>
      <c r="CE23" s="99"/>
      <c r="CF23" s="99"/>
      <c r="CG23" s="99"/>
      <c r="CH23" s="100"/>
      <c r="CI23" s="159"/>
      <c r="CJ23" s="160"/>
      <c r="CK23" s="160"/>
      <c r="CL23" s="160"/>
      <c r="CM23" s="160"/>
      <c r="CN23" s="160"/>
      <c r="CO23" s="160"/>
      <c r="CP23" s="160"/>
      <c r="CQ23" s="160"/>
      <c r="CR23" s="160"/>
      <c r="CS23" s="160"/>
      <c r="CT23" s="160"/>
      <c r="CU23" s="160"/>
      <c r="CV23" s="160"/>
      <c r="CW23" s="160"/>
      <c r="CX23" s="160"/>
      <c r="CY23" s="160"/>
      <c r="CZ23" s="160"/>
      <c r="DA23" s="160"/>
      <c r="DB23" s="491"/>
    </row>
    <row r="24" spans="2:107" ht="20.100000000000001" customHeight="1" thickTop="1" thickBot="1"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9"/>
      <c r="CI24" s="106">
        <f>SUM(CI7:CM21)</f>
        <v>0</v>
      </c>
      <c r="CJ24" s="107"/>
      <c r="CK24" s="107"/>
      <c r="CL24" s="107"/>
      <c r="CM24" s="108"/>
      <c r="CN24" s="109">
        <f>SUM(CN7:CR21)</f>
        <v>0</v>
      </c>
      <c r="CO24" s="110"/>
      <c r="CP24" s="110"/>
      <c r="CQ24" s="110"/>
      <c r="CR24" s="111"/>
      <c r="CS24" s="106">
        <f>SUM(CS7:CW21)</f>
        <v>0</v>
      </c>
      <c r="CT24" s="107"/>
      <c r="CU24" s="107"/>
      <c r="CV24" s="107"/>
      <c r="CW24" s="108"/>
      <c r="CX24" s="106">
        <f>SUM(CX7:DB21)</f>
        <v>0</v>
      </c>
      <c r="CY24" s="107"/>
      <c r="CZ24" s="107"/>
      <c r="DA24" s="107"/>
      <c r="DB24" s="108"/>
    </row>
    <row r="25" spans="2:107" ht="20.100000000000001" customHeight="1" thickTop="1"/>
    <row r="26" spans="2:107" ht="20.100000000000001" customHeight="1" thickBot="1">
      <c r="B26" s="254" t="s">
        <v>8</v>
      </c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4"/>
      <c r="R26" s="254"/>
      <c r="S26" s="254"/>
      <c r="T26" s="254"/>
      <c r="U26" s="254"/>
      <c r="V26" s="254"/>
      <c r="W26" s="254"/>
      <c r="X26" s="254"/>
      <c r="Y26" s="254"/>
      <c r="Z26" s="254"/>
      <c r="AA26" s="254" t="s">
        <v>9</v>
      </c>
      <c r="AB26" s="254"/>
      <c r="AC26" s="254"/>
      <c r="AD26" s="254"/>
      <c r="AE26" s="254"/>
      <c r="AF26" s="254"/>
      <c r="AG26" s="254"/>
      <c r="AH26" s="254"/>
      <c r="AI26" s="254"/>
      <c r="AJ26" s="254"/>
      <c r="AK26" s="254"/>
      <c r="AL26" s="254"/>
      <c r="AM26" s="254"/>
      <c r="AN26" s="254"/>
      <c r="AO26" s="254"/>
      <c r="AP26" s="254"/>
      <c r="AQ26" s="254"/>
      <c r="AR26" s="254"/>
      <c r="AS26" s="254"/>
      <c r="AT26" s="254"/>
      <c r="AU26" s="254"/>
      <c r="AV26" s="254"/>
      <c r="AW26" s="254"/>
      <c r="AX26" s="254"/>
      <c r="AY26" s="254"/>
      <c r="AZ26" s="254"/>
      <c r="BA26" s="254"/>
      <c r="BB26" s="254"/>
      <c r="BC26" s="97" t="s">
        <v>10</v>
      </c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97"/>
      <c r="BP26" s="97"/>
      <c r="BQ26" s="97"/>
      <c r="BR26" s="97"/>
      <c r="BS26" s="97"/>
      <c r="BT26" s="97"/>
      <c r="BU26" s="97"/>
      <c r="BV26" s="97"/>
      <c r="BW26" s="97"/>
      <c r="BX26" s="97"/>
      <c r="BY26" s="97" t="s">
        <v>11</v>
      </c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</row>
    <row r="27" spans="2:107" ht="20.100000000000001" customHeight="1">
      <c r="B27" s="8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59"/>
      <c r="AQ27" s="59"/>
      <c r="AR27" s="59"/>
      <c r="AS27" s="59"/>
      <c r="AT27" s="74"/>
      <c r="AU27" s="74"/>
      <c r="AV27" s="74"/>
      <c r="AW27" s="74"/>
      <c r="AX27" s="74"/>
      <c r="AY27" s="74"/>
      <c r="AZ27" s="74"/>
      <c r="BA27" s="74"/>
      <c r="BB27" s="75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5"/>
      <c r="BT27" s="35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Y27" s="26" t="s">
        <v>1</v>
      </c>
      <c r="CZ27" s="26"/>
      <c r="DA27" s="26"/>
      <c r="DB27" s="26"/>
    </row>
    <row r="28" spans="2:107" ht="20.100000000000001" customHeight="1" thickBot="1">
      <c r="B28" s="84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73"/>
      <c r="Q28" s="59"/>
      <c r="R28" s="59"/>
      <c r="S28" s="59"/>
      <c r="T28" s="59"/>
      <c r="U28" s="59"/>
      <c r="V28" s="59"/>
      <c r="W28" s="59"/>
      <c r="X28" s="59"/>
      <c r="Y28" s="59"/>
      <c r="Z28" s="76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76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76"/>
      <c r="BT28" s="35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Y28" s="27" t="s">
        <v>4</v>
      </c>
      <c r="CZ28" s="27"/>
      <c r="DA28" s="27"/>
      <c r="DB28" s="27"/>
    </row>
    <row r="29" spans="2:107" ht="20.100000000000001" customHeight="1" thickTop="1" thickBot="1">
      <c r="B29" s="84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36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76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38"/>
      <c r="BB29" s="76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73"/>
      <c r="BQ29" s="73"/>
      <c r="BR29" s="59"/>
      <c r="BS29" s="76"/>
      <c r="BT29" s="35"/>
      <c r="BU29" s="36"/>
      <c r="BV29" s="36"/>
      <c r="BW29" s="59"/>
      <c r="BX29" s="59"/>
      <c r="BY29" s="88">
        <v>124</v>
      </c>
      <c r="BZ29" s="88"/>
      <c r="CA29" s="88"/>
      <c r="CB29" s="88"/>
      <c r="CC29" s="36"/>
      <c r="CD29" s="36"/>
      <c r="CE29" s="36"/>
      <c r="CF29" s="36"/>
      <c r="CG29" s="36"/>
      <c r="CH29" s="90">
        <v>25</v>
      </c>
      <c r="CI29" s="90"/>
      <c r="CJ29" s="90"/>
      <c r="CK29" s="90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Y29" s="149">
        <f>DC29</f>
        <v>0</v>
      </c>
      <c r="CZ29" s="150"/>
      <c r="DA29" s="150"/>
      <c r="DB29" s="151"/>
      <c r="DC29" s="29">
        <f t="array" ref="DC29:DC30">TRANSPOSE(TotalUnitsAndWeightsSum(DECK12))</f>
        <v>0</v>
      </c>
    </row>
    <row r="30" spans="2:107" ht="20.100000000000001" customHeight="1" thickTop="1" thickBot="1">
      <c r="B30" s="84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36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76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77"/>
      <c r="AM30" s="78"/>
      <c r="AN30" s="78"/>
      <c r="AO30" s="78"/>
      <c r="AP30" s="78"/>
      <c r="AQ30" s="78"/>
      <c r="AR30" s="78"/>
      <c r="AS30" s="78"/>
      <c r="AT30" s="78"/>
      <c r="AU30" s="78"/>
      <c r="AV30" s="79"/>
      <c r="AW30" s="59"/>
      <c r="AX30" s="59"/>
      <c r="AY30" s="38"/>
      <c r="AZ30" s="38"/>
      <c r="BA30" s="38"/>
      <c r="BB30" s="76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76"/>
      <c r="BT30" s="35"/>
      <c r="BU30" s="36"/>
      <c r="BV30" s="36"/>
      <c r="BW30" s="59"/>
      <c r="BX30" s="59"/>
      <c r="BY30" s="88">
        <v>245.09</v>
      </c>
      <c r="BZ30" s="88"/>
      <c r="CA30" s="88"/>
      <c r="CB30" s="88"/>
      <c r="CC30" s="36"/>
      <c r="CD30" s="36"/>
      <c r="CE30" s="36"/>
      <c r="CF30" s="36"/>
      <c r="CG30" s="36"/>
      <c r="CH30" s="90">
        <v>12.3</v>
      </c>
      <c r="CI30" s="90"/>
      <c r="CJ30" s="90"/>
      <c r="CK30" s="90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Y30" s="146">
        <f>DC30</f>
        <v>0</v>
      </c>
      <c r="CZ30" s="147"/>
      <c r="DA30" s="147"/>
      <c r="DB30" s="148"/>
      <c r="DC30" s="29">
        <v>0</v>
      </c>
    </row>
    <row r="31" spans="2:107" ht="20.100000000000001" customHeight="1" thickTop="1">
      <c r="B31" s="84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76"/>
      <c r="AA31" s="59"/>
      <c r="AB31" s="59"/>
      <c r="AC31" s="59"/>
      <c r="AD31" s="36"/>
      <c r="AE31" s="59"/>
      <c r="AF31" s="59"/>
      <c r="AG31" s="59"/>
      <c r="AH31" s="59"/>
      <c r="AI31" s="59"/>
      <c r="AJ31" s="59"/>
      <c r="AK31" s="59"/>
      <c r="AL31" s="80"/>
      <c r="AM31" s="81"/>
      <c r="AN31" s="81"/>
      <c r="AO31" s="81"/>
      <c r="AP31" s="81"/>
      <c r="AQ31" s="81"/>
      <c r="AR31" s="81"/>
      <c r="AS31" s="81"/>
      <c r="AT31" s="81"/>
      <c r="AU31" s="81"/>
      <c r="AV31" s="82"/>
      <c r="AW31" s="59"/>
      <c r="AX31" s="59"/>
      <c r="AY31" s="59"/>
      <c r="AZ31" s="59"/>
      <c r="BA31" s="59"/>
      <c r="BB31" s="76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76"/>
      <c r="BT31" s="35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Y31" s="28" t="s">
        <v>21</v>
      </c>
      <c r="CZ31" s="28"/>
      <c r="DA31" s="28"/>
      <c r="DB31" s="28"/>
    </row>
    <row r="32" spans="2:107" ht="20.100000000000001" customHeight="1">
      <c r="B32" s="84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76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76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76"/>
      <c r="BT32" s="35"/>
      <c r="BU32" s="36"/>
      <c r="BV32" s="36"/>
      <c r="BW32" s="36"/>
      <c r="BX32" s="36"/>
      <c r="BY32" s="89">
        <v>45</v>
      </c>
      <c r="BZ32" s="89"/>
      <c r="CA32" s="89"/>
      <c r="CB32" s="89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Y32" s="25" t="s">
        <v>22</v>
      </c>
      <c r="CZ32" s="25"/>
      <c r="DA32" s="25"/>
      <c r="DB32" s="25"/>
    </row>
    <row r="33" spans="2:107" ht="20.100000000000001" customHeight="1">
      <c r="B33" s="84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76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76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76"/>
      <c r="BT33" s="35"/>
      <c r="BU33" s="36"/>
      <c r="BV33" s="36"/>
      <c r="BW33" s="36"/>
      <c r="BX33" s="36"/>
      <c r="BY33" s="89">
        <v>135.30000000000001</v>
      </c>
      <c r="BZ33" s="89"/>
      <c r="CA33" s="89"/>
      <c r="CB33" s="89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</row>
    <row r="34" spans="2:107" ht="20.100000000000001" customHeight="1">
      <c r="B34" s="84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76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76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76"/>
      <c r="BT34" s="35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</row>
    <row r="35" spans="2:107" ht="20.100000000000001" customHeight="1" thickBot="1">
      <c r="B35" s="84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76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76"/>
      <c r="BC35" s="59"/>
      <c r="BD35" s="59"/>
      <c r="BE35" s="59"/>
      <c r="BF35" s="36"/>
      <c r="BG35" s="36"/>
      <c r="BH35" s="36"/>
      <c r="BI35" s="36"/>
      <c r="BJ35" s="59"/>
      <c r="BK35" s="59"/>
      <c r="BL35" s="59"/>
      <c r="BM35" s="59"/>
      <c r="BN35" s="59"/>
      <c r="BO35" s="59"/>
      <c r="BP35" s="59"/>
      <c r="BQ35" s="59"/>
      <c r="BR35" s="59"/>
      <c r="BS35" s="76"/>
      <c r="BT35" s="35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</row>
    <row r="36" spans="2:107" ht="20.100000000000001" customHeight="1">
      <c r="B36" s="83"/>
      <c r="C36" s="74"/>
      <c r="D36" s="74"/>
      <c r="E36" s="74"/>
      <c r="F36" s="74"/>
      <c r="G36" s="74"/>
      <c r="H36" s="74"/>
      <c r="I36" s="74"/>
      <c r="J36" s="144"/>
      <c r="K36" s="135"/>
      <c r="L36" s="135"/>
      <c r="M36" s="135"/>
      <c r="N36" s="136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5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5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83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5"/>
      <c r="CY36" s="11" t="s">
        <v>2</v>
      </c>
    </row>
    <row r="37" spans="2:107" ht="20.100000000000001" customHeight="1" thickBot="1">
      <c r="B37" s="84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76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76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84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76"/>
      <c r="CY37" s="12" t="s">
        <v>4</v>
      </c>
    </row>
    <row r="38" spans="2:107" ht="20.100000000000001" customHeight="1" thickTop="1" thickBot="1">
      <c r="B38" s="84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76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76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84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76"/>
      <c r="CY38" s="149">
        <f>DC38</f>
        <v>0</v>
      </c>
      <c r="CZ38" s="150"/>
      <c r="DA38" s="150"/>
      <c r="DB38" s="151"/>
      <c r="DC38" s="29">
        <f t="array" ref="DC38:DC39">TRANSPOSE(TotalUnitsAndWeightsSum(DECK11))</f>
        <v>0</v>
      </c>
    </row>
    <row r="39" spans="2:107" ht="20.100000000000001" customHeight="1" thickTop="1" thickBot="1">
      <c r="B39" s="84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76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77"/>
      <c r="AM39" s="78"/>
      <c r="AN39" s="78"/>
      <c r="AO39" s="78"/>
      <c r="AP39" s="78"/>
      <c r="AQ39" s="78"/>
      <c r="AR39" s="78"/>
      <c r="AS39" s="78"/>
      <c r="AT39" s="78"/>
      <c r="AU39" s="78"/>
      <c r="AV39" s="79"/>
      <c r="AW39" s="59"/>
      <c r="AX39" s="59"/>
      <c r="AY39" s="59"/>
      <c r="AZ39" s="59"/>
      <c r="BA39" s="59"/>
      <c r="BB39" s="76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84"/>
      <c r="BZ39" s="59"/>
      <c r="CA39" s="59"/>
      <c r="CB39" s="59"/>
      <c r="CC39" s="59"/>
      <c r="CD39" s="59"/>
      <c r="CE39" s="59"/>
      <c r="CF39" s="59"/>
      <c r="CG39" s="59"/>
      <c r="CH39" s="77"/>
      <c r="CI39" s="78"/>
      <c r="CJ39" s="78"/>
      <c r="CK39" s="78"/>
      <c r="CL39" s="78"/>
      <c r="CM39" s="78"/>
      <c r="CN39" s="78"/>
      <c r="CO39" s="78"/>
      <c r="CP39" s="78"/>
      <c r="CQ39" s="79"/>
      <c r="CR39" s="59"/>
      <c r="CS39" s="59"/>
      <c r="CT39" s="59"/>
      <c r="CU39" s="59"/>
      <c r="CV39" s="59"/>
      <c r="CW39" s="76"/>
      <c r="CY39" s="146">
        <f>DC39</f>
        <v>0</v>
      </c>
      <c r="CZ39" s="147"/>
      <c r="DA39" s="147"/>
      <c r="DB39" s="148"/>
      <c r="DC39" s="29">
        <v>0</v>
      </c>
    </row>
    <row r="40" spans="2:107" ht="20.100000000000001" customHeight="1" thickTop="1">
      <c r="B40" s="84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76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80"/>
      <c r="AM40" s="81"/>
      <c r="AN40" s="81"/>
      <c r="AO40" s="81"/>
      <c r="AP40" s="81"/>
      <c r="AQ40" s="81"/>
      <c r="AR40" s="81"/>
      <c r="AS40" s="81"/>
      <c r="AT40" s="81"/>
      <c r="AU40" s="81"/>
      <c r="AV40" s="82"/>
      <c r="AW40" s="59"/>
      <c r="AX40" s="59"/>
      <c r="AY40" s="59"/>
      <c r="AZ40" s="59"/>
      <c r="BA40" s="59"/>
      <c r="BB40" s="76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84"/>
      <c r="BZ40" s="59"/>
      <c r="CA40" s="59"/>
      <c r="CB40" s="59"/>
      <c r="CC40" s="59"/>
      <c r="CD40" s="59"/>
      <c r="CE40" s="59"/>
      <c r="CF40" s="59"/>
      <c r="CG40" s="59"/>
      <c r="CH40" s="80"/>
      <c r="CI40" s="81"/>
      <c r="CJ40" s="81"/>
      <c r="CK40" s="81"/>
      <c r="CL40" s="81"/>
      <c r="CM40" s="81"/>
      <c r="CN40" s="81"/>
      <c r="CO40" s="81"/>
      <c r="CP40" s="81"/>
      <c r="CQ40" s="82"/>
      <c r="CR40" s="59"/>
      <c r="CS40" s="59"/>
      <c r="CT40" s="59"/>
      <c r="CU40" s="59"/>
      <c r="CV40" s="59"/>
      <c r="CW40" s="76"/>
      <c r="CY40" s="28" t="s">
        <v>21</v>
      </c>
      <c r="CZ40" s="28"/>
      <c r="DA40" s="28"/>
      <c r="DB40" s="28"/>
    </row>
    <row r="41" spans="2:107" ht="20.100000000000001" customHeight="1">
      <c r="B41" s="84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76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76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84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76"/>
      <c r="CY41" s="25" t="s">
        <v>22</v>
      </c>
      <c r="CZ41" s="25"/>
      <c r="DA41" s="25"/>
      <c r="DB41" s="25"/>
    </row>
    <row r="42" spans="2:107" ht="20.100000000000001" customHeight="1">
      <c r="B42" s="84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72"/>
      <c r="N42" s="72"/>
      <c r="O42" s="72"/>
      <c r="P42" s="72"/>
      <c r="Q42" s="72"/>
      <c r="R42" s="72"/>
      <c r="S42" s="59"/>
      <c r="T42" s="59"/>
      <c r="U42" s="59"/>
      <c r="V42" s="59"/>
      <c r="W42" s="59"/>
      <c r="X42" s="72"/>
      <c r="Y42" s="59"/>
      <c r="Z42" s="76"/>
      <c r="AA42" s="59"/>
      <c r="AB42" s="59"/>
      <c r="AC42" s="59"/>
      <c r="AD42" s="59"/>
      <c r="AE42" s="59"/>
      <c r="AF42" s="59"/>
      <c r="AG42" s="59"/>
      <c r="AH42" s="59"/>
      <c r="AI42" s="59"/>
      <c r="AJ42" s="72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76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84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76"/>
    </row>
    <row r="43" spans="2:107" ht="20.100000000000001" customHeight="1">
      <c r="B43" s="84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72"/>
      <c r="N43" s="72"/>
      <c r="O43" s="72"/>
      <c r="P43" s="72"/>
      <c r="Q43" s="59"/>
      <c r="R43" s="59"/>
      <c r="S43" s="59"/>
      <c r="T43" s="59"/>
      <c r="U43" s="72"/>
      <c r="V43" s="72"/>
      <c r="W43" s="72"/>
      <c r="X43" s="72"/>
      <c r="Y43" s="59"/>
      <c r="Z43" s="76"/>
      <c r="AA43" s="59"/>
      <c r="AB43" s="59"/>
      <c r="AC43" s="59"/>
      <c r="AD43" s="59"/>
      <c r="AE43" s="59"/>
      <c r="AF43" s="59"/>
      <c r="AG43" s="72"/>
      <c r="AH43" s="72"/>
      <c r="AI43" s="72"/>
      <c r="AJ43" s="72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76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84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76"/>
    </row>
    <row r="44" spans="2:107" ht="20.100000000000001" customHeight="1" thickBot="1">
      <c r="B44" s="84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76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76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84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76"/>
    </row>
    <row r="45" spans="2:107" ht="20.100000000000001" customHeight="1">
      <c r="B45" s="83"/>
      <c r="C45" s="74"/>
      <c r="D45" s="74"/>
      <c r="E45" s="74"/>
      <c r="F45" s="74"/>
      <c r="G45" s="74"/>
      <c r="H45" s="74"/>
      <c r="I45" s="74"/>
      <c r="J45" s="263"/>
      <c r="K45" s="264"/>
      <c r="L45" s="264"/>
      <c r="M45" s="264"/>
      <c r="N45" s="265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5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5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32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4"/>
      <c r="CY45" s="11" t="s">
        <v>3</v>
      </c>
    </row>
    <row r="46" spans="2:107" ht="20.100000000000001" customHeight="1" thickBot="1">
      <c r="B46" s="84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76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76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35"/>
      <c r="BZ46" s="36"/>
      <c r="CA46" s="36"/>
      <c r="CB46" s="36"/>
      <c r="CC46" s="36"/>
      <c r="CD46" s="59"/>
      <c r="CE46" s="59"/>
      <c r="CF46" s="59"/>
      <c r="CG46" s="59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7"/>
      <c r="CY46" s="15" t="s">
        <v>23</v>
      </c>
    </row>
    <row r="47" spans="2:107" ht="20.100000000000001" customHeight="1" thickTop="1" thickBot="1">
      <c r="B47" s="84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76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76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35"/>
      <c r="BZ47" s="36"/>
      <c r="CA47" s="36"/>
      <c r="CB47" s="36"/>
      <c r="CC47" s="36"/>
      <c r="CD47" s="59"/>
      <c r="CE47" s="59"/>
      <c r="CF47" s="59"/>
      <c r="CG47" s="59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7"/>
      <c r="CY47" s="149">
        <f>DC47</f>
        <v>0</v>
      </c>
      <c r="CZ47" s="150"/>
      <c r="DA47" s="150"/>
      <c r="DB47" s="151"/>
      <c r="DC47" s="29">
        <f t="array" ref="DC47:DC48">TRANSPOSE(TotalUnitsAndWeightsSum(DECK10))</f>
        <v>0</v>
      </c>
    </row>
    <row r="48" spans="2:107" ht="20.100000000000001" customHeight="1" thickTop="1" thickBot="1">
      <c r="B48" s="84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76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77"/>
      <c r="AM48" s="78"/>
      <c r="AN48" s="78"/>
      <c r="AO48" s="78"/>
      <c r="AP48" s="78"/>
      <c r="AQ48" s="78"/>
      <c r="AR48" s="78"/>
      <c r="AS48" s="78"/>
      <c r="AT48" s="78"/>
      <c r="AU48" s="78"/>
      <c r="AV48" s="79"/>
      <c r="AW48" s="59"/>
      <c r="AX48" s="59"/>
      <c r="AY48" s="59"/>
      <c r="AZ48" s="59"/>
      <c r="BA48" s="59"/>
      <c r="BB48" s="76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35"/>
      <c r="BZ48" s="36"/>
      <c r="CA48" s="36"/>
      <c r="CB48" s="36"/>
      <c r="CC48" s="36"/>
      <c r="CD48" s="38"/>
      <c r="CE48" s="38"/>
      <c r="CF48" s="38"/>
      <c r="CG48" s="140"/>
      <c r="CH48" s="141"/>
      <c r="CI48" s="141"/>
      <c r="CJ48" s="141"/>
      <c r="CK48" s="141"/>
      <c r="CL48" s="141"/>
      <c r="CM48" s="141"/>
      <c r="CN48" s="141"/>
      <c r="CO48" s="141"/>
      <c r="CP48" s="141"/>
      <c r="CQ48" s="141"/>
      <c r="CR48" s="142"/>
      <c r="CS48" s="36"/>
      <c r="CT48" s="36"/>
      <c r="CU48" s="36"/>
      <c r="CV48" s="36"/>
      <c r="CW48" s="37"/>
      <c r="CY48" s="146">
        <f>DC48</f>
        <v>0</v>
      </c>
      <c r="CZ48" s="147"/>
      <c r="DA48" s="147"/>
      <c r="DB48" s="148"/>
      <c r="DC48" s="29">
        <v>0</v>
      </c>
    </row>
    <row r="49" spans="2:109" ht="20.100000000000001" customHeight="1" thickTop="1">
      <c r="B49" s="84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76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80"/>
      <c r="AM49" s="81"/>
      <c r="AN49" s="81"/>
      <c r="AO49" s="81"/>
      <c r="AP49" s="81"/>
      <c r="AQ49" s="81"/>
      <c r="AR49" s="81"/>
      <c r="AS49" s="81"/>
      <c r="AT49" s="81"/>
      <c r="AU49" s="81"/>
      <c r="AV49" s="82"/>
      <c r="AW49" s="59"/>
      <c r="AX49" s="59"/>
      <c r="AY49" s="59"/>
      <c r="AZ49" s="59"/>
      <c r="BA49" s="59"/>
      <c r="BB49" s="76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35"/>
      <c r="BZ49" s="36"/>
      <c r="CA49" s="36"/>
      <c r="CB49" s="36"/>
      <c r="CC49" s="36"/>
      <c r="CD49" s="38"/>
      <c r="CE49" s="38"/>
      <c r="CF49" s="38"/>
      <c r="CG49" s="128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30"/>
      <c r="CS49" s="36"/>
      <c r="CT49" s="36"/>
      <c r="CU49" s="36"/>
      <c r="CV49" s="36"/>
      <c r="CW49" s="37"/>
      <c r="CY49" s="13" t="s">
        <v>24</v>
      </c>
    </row>
    <row r="50" spans="2:109" ht="20.100000000000001" customHeight="1">
      <c r="B50" s="84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76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76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35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7"/>
      <c r="CY50" s="14" t="s">
        <v>25</v>
      </c>
    </row>
    <row r="51" spans="2:109" ht="20.100000000000001" customHeight="1">
      <c r="B51" s="84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76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76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35"/>
      <c r="BZ51" s="36"/>
      <c r="CA51" s="36"/>
      <c r="CB51" s="36"/>
      <c r="CC51" s="36"/>
      <c r="CD51" s="36"/>
      <c r="CE51" s="36"/>
      <c r="CF51" s="36"/>
      <c r="CG51" s="36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6"/>
      <c r="CU51" s="36"/>
      <c r="CV51" s="36"/>
      <c r="CW51" s="37"/>
      <c r="CY51" s="13"/>
    </row>
    <row r="52" spans="2:109" ht="20.100000000000001" customHeight="1">
      <c r="B52" s="84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76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76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35"/>
      <c r="BZ52" s="36"/>
      <c r="CA52" s="36"/>
      <c r="CB52" s="36"/>
      <c r="CC52" s="36"/>
      <c r="CD52" s="36"/>
      <c r="CE52" s="36"/>
      <c r="CF52" s="36"/>
      <c r="CG52" s="36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6"/>
      <c r="CU52" s="36"/>
      <c r="CV52" s="36"/>
      <c r="CW52" s="37"/>
      <c r="CY52" s="14"/>
    </row>
    <row r="53" spans="2:109" ht="20.100000000000001" customHeight="1" thickBot="1">
      <c r="B53" s="84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76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76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35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7"/>
    </row>
    <row r="54" spans="2:109" ht="20.100000000000001" customHeight="1">
      <c r="B54" s="32"/>
      <c r="C54" s="33"/>
      <c r="D54" s="33"/>
      <c r="E54" s="33"/>
      <c r="F54" s="33"/>
      <c r="G54" s="33"/>
      <c r="H54" s="33"/>
      <c r="I54" s="33"/>
      <c r="J54" s="144"/>
      <c r="K54" s="135"/>
      <c r="L54" s="135"/>
      <c r="M54" s="135"/>
      <c r="N54" s="136"/>
      <c r="O54" s="33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5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33"/>
      <c r="BR54" s="33"/>
      <c r="BS54" s="33"/>
      <c r="BT54" s="33"/>
      <c r="BU54" s="33"/>
      <c r="BV54" s="33"/>
      <c r="BW54" s="33"/>
      <c r="BX54" s="34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4"/>
      <c r="CY54" s="16" t="s">
        <v>40</v>
      </c>
    </row>
    <row r="55" spans="2:109" ht="20.100000000000001" customHeight="1" thickBot="1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7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7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36"/>
      <c r="BW55" s="36"/>
      <c r="BX55" s="37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7"/>
      <c r="CY55" s="17" t="s">
        <v>23</v>
      </c>
    </row>
    <row r="56" spans="2:109" ht="20.100000000000001" customHeight="1" thickTop="1" thickBot="1">
      <c r="B56" s="35"/>
      <c r="C56" s="36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76"/>
      <c r="AA56" s="59"/>
      <c r="AB56" s="59"/>
      <c r="AC56" s="59"/>
      <c r="AD56" s="59"/>
      <c r="AE56" s="59"/>
      <c r="AF56" s="59"/>
      <c r="AG56" s="59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7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36"/>
      <c r="BW56" s="36"/>
      <c r="BX56" s="37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7"/>
      <c r="CY56" s="149">
        <f>DC56</f>
        <v>0</v>
      </c>
      <c r="CZ56" s="150"/>
      <c r="DA56" s="150"/>
      <c r="DB56" s="151"/>
      <c r="DC56" s="29">
        <f t="array" ref="DC56:DC57">TRANSPOSE(TotalUnitsAndWeightsSum(DECK9))</f>
        <v>0</v>
      </c>
    </row>
    <row r="57" spans="2:109" ht="20.100000000000001" customHeight="1" thickTop="1" thickBot="1">
      <c r="B57" s="35"/>
      <c r="C57" s="36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76"/>
      <c r="AA57" s="59"/>
      <c r="AB57" s="59"/>
      <c r="AC57" s="59"/>
      <c r="AD57" s="59"/>
      <c r="AE57" s="59"/>
      <c r="AF57" s="59"/>
      <c r="AG57" s="59"/>
      <c r="AH57" s="36"/>
      <c r="AI57" s="36"/>
      <c r="AJ57" s="36"/>
      <c r="AK57" s="36"/>
      <c r="AL57" s="140"/>
      <c r="AM57" s="141"/>
      <c r="AN57" s="141"/>
      <c r="AO57" s="141"/>
      <c r="AP57" s="141"/>
      <c r="AQ57" s="141"/>
      <c r="AR57" s="141"/>
      <c r="AS57" s="141"/>
      <c r="AT57" s="141"/>
      <c r="AU57" s="141"/>
      <c r="AV57" s="142"/>
      <c r="AW57" s="36"/>
      <c r="AX57" s="36"/>
      <c r="AY57" s="36"/>
      <c r="AZ57" s="36"/>
      <c r="BA57" s="36"/>
      <c r="BB57" s="37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36"/>
      <c r="BW57" s="36"/>
      <c r="BX57" s="37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1"/>
      <c r="CJ57" s="38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7"/>
      <c r="CY57" s="146">
        <f>DC57</f>
        <v>0</v>
      </c>
      <c r="CZ57" s="147"/>
      <c r="DA57" s="147"/>
      <c r="DB57" s="148"/>
      <c r="DC57" s="29">
        <v>0</v>
      </c>
    </row>
    <row r="58" spans="2:109" ht="20.100000000000001" customHeight="1" thickTop="1">
      <c r="B58" s="35"/>
      <c r="C58" s="36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76"/>
      <c r="AA58" s="59"/>
      <c r="AB58" s="59"/>
      <c r="AC58" s="59"/>
      <c r="AD58" s="59"/>
      <c r="AE58" s="59"/>
      <c r="AF58" s="59"/>
      <c r="AG58" s="59"/>
      <c r="AH58" s="36"/>
      <c r="AI58" s="36"/>
      <c r="AJ58" s="36"/>
      <c r="AK58" s="36"/>
      <c r="AL58" s="128"/>
      <c r="AM58" s="129"/>
      <c r="AN58" s="129"/>
      <c r="AO58" s="129"/>
      <c r="AP58" s="129"/>
      <c r="AQ58" s="129"/>
      <c r="AR58" s="129"/>
      <c r="AS58" s="129"/>
      <c r="AT58" s="129"/>
      <c r="AU58" s="129"/>
      <c r="AV58" s="130"/>
      <c r="AW58" s="36"/>
      <c r="AX58" s="36"/>
      <c r="AY58" s="36"/>
      <c r="AZ58" s="36"/>
      <c r="BA58" s="36"/>
      <c r="BB58" s="37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36"/>
      <c r="BW58" s="36"/>
      <c r="BX58" s="37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4"/>
      <c r="CJ58" s="38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7"/>
      <c r="CY58" s="13" t="s">
        <v>24</v>
      </c>
    </row>
    <row r="59" spans="2:109" ht="20.100000000000001" customHeight="1">
      <c r="B59" s="35"/>
      <c r="C59" s="36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76"/>
      <c r="AA59" s="59"/>
      <c r="AB59" s="59"/>
      <c r="AC59" s="59"/>
      <c r="AD59" s="59"/>
      <c r="AE59" s="59"/>
      <c r="AF59" s="59"/>
      <c r="AG59" s="59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7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36"/>
      <c r="BW59" s="36"/>
      <c r="BX59" s="37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7"/>
      <c r="CY59" s="14" t="s">
        <v>25</v>
      </c>
    </row>
    <row r="60" spans="2:109" ht="20.100000000000001" customHeight="1">
      <c r="B60" s="35"/>
      <c r="C60" s="36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76"/>
      <c r="AA60" s="59"/>
      <c r="AB60" s="59"/>
      <c r="AC60" s="59"/>
      <c r="AD60" s="59"/>
      <c r="AE60" s="59"/>
      <c r="AF60" s="59"/>
      <c r="AG60" s="59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7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36"/>
      <c r="BW60" s="36"/>
      <c r="BX60" s="37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7"/>
    </row>
    <row r="61" spans="2:109" ht="20.100000000000001" customHeight="1">
      <c r="B61" s="35"/>
      <c r="C61" s="36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76"/>
      <c r="AA61" s="59"/>
      <c r="AB61" s="59"/>
      <c r="AC61" s="59"/>
      <c r="AD61" s="59"/>
      <c r="AE61" s="59"/>
      <c r="AF61" s="59"/>
      <c r="AG61" s="59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7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36"/>
      <c r="BW61" s="36"/>
      <c r="BX61" s="36"/>
      <c r="BY61" s="35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7"/>
    </row>
    <row r="62" spans="2:109" ht="20.100000000000001" customHeight="1" thickBot="1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7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7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36"/>
      <c r="BR62" s="36"/>
      <c r="BS62" s="36"/>
      <c r="BT62" s="36"/>
      <c r="BU62" s="36"/>
      <c r="BV62" s="36"/>
      <c r="BW62" s="36"/>
      <c r="BX62" s="36"/>
      <c r="BY62" s="35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7"/>
      <c r="CY62" s="23"/>
    </row>
    <row r="63" spans="2:109" ht="20.100000000000001" customHeight="1">
      <c r="B63" s="32"/>
      <c r="C63" s="33"/>
      <c r="D63" s="33"/>
      <c r="E63" s="33"/>
      <c r="F63" s="33"/>
      <c r="G63" s="33"/>
      <c r="H63" s="33"/>
      <c r="I63" s="33"/>
      <c r="J63" s="144"/>
      <c r="K63" s="135"/>
      <c r="L63" s="135"/>
      <c r="M63" s="135"/>
      <c r="N63" s="136"/>
      <c r="O63" s="33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5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33"/>
      <c r="BR63" s="33"/>
      <c r="BS63" s="33"/>
      <c r="BT63" s="33"/>
      <c r="BU63" s="33"/>
      <c r="BV63" s="33"/>
      <c r="BW63" s="33"/>
      <c r="BX63" s="34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4"/>
      <c r="CY63" s="259" t="s">
        <v>41</v>
      </c>
      <c r="CZ63" s="260"/>
      <c r="DA63" s="260"/>
      <c r="DB63" s="260"/>
      <c r="DC63" s="255" t="s">
        <v>42</v>
      </c>
      <c r="DD63" s="255"/>
      <c r="DE63" s="256"/>
    </row>
    <row r="64" spans="2:109" ht="20.100000000000001" customHeight="1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7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7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36"/>
      <c r="BR64" s="36"/>
      <c r="BS64" s="36"/>
      <c r="BT64" s="36"/>
      <c r="BU64" s="36"/>
      <c r="BV64" s="36"/>
      <c r="BW64" s="36"/>
      <c r="BX64" s="37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7"/>
      <c r="CY64" s="18" t="s">
        <v>5</v>
      </c>
    </row>
    <row r="65" spans="2:107" ht="20.100000000000001" customHeight="1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76"/>
      <c r="AA65" s="36"/>
      <c r="AB65" s="36"/>
      <c r="AC65" s="36"/>
      <c r="AD65" s="36"/>
      <c r="AE65" s="36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6"/>
      <c r="AX65" s="36"/>
      <c r="AY65" s="36"/>
      <c r="AZ65" s="36"/>
      <c r="BA65" s="36"/>
      <c r="BB65" s="37"/>
      <c r="BC65" s="59"/>
      <c r="BD65" s="59"/>
      <c r="BE65" s="59"/>
      <c r="BF65" s="59"/>
      <c r="BG65" s="59"/>
      <c r="BH65" s="59"/>
      <c r="BI65" s="73"/>
      <c r="BJ65" s="73"/>
      <c r="BK65" s="73"/>
      <c r="BL65" s="73"/>
      <c r="BM65" s="73"/>
      <c r="BN65" s="73"/>
      <c r="BO65" s="73"/>
      <c r="BP65" s="73"/>
      <c r="BQ65" s="38"/>
      <c r="BR65" s="38"/>
      <c r="BS65" s="38"/>
      <c r="BT65" s="36"/>
      <c r="BU65" s="36"/>
      <c r="BV65" s="36"/>
      <c r="BW65" s="36"/>
      <c r="BX65" s="37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7"/>
      <c r="CY65" s="19" t="s">
        <v>4</v>
      </c>
    </row>
    <row r="66" spans="2:107" ht="20.100000000000001" customHeight="1" thickBot="1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76"/>
      <c r="AA66" s="36"/>
      <c r="AB66" s="36"/>
      <c r="AC66" s="36"/>
      <c r="AD66" s="36"/>
      <c r="AE66" s="36"/>
      <c r="AF66" s="60" t="s">
        <v>12</v>
      </c>
      <c r="AG66" s="61"/>
      <c r="AH66" s="61"/>
      <c r="AI66" s="61"/>
      <c r="AJ66" s="61"/>
      <c r="AK66" s="61"/>
      <c r="AL66" s="61"/>
      <c r="AM66" s="62"/>
      <c r="AN66" s="132"/>
      <c r="AO66" s="132"/>
      <c r="AP66" s="132"/>
      <c r="AQ66" s="132"/>
      <c r="AR66" s="132"/>
      <c r="AS66" s="132"/>
      <c r="AT66" s="132"/>
      <c r="AU66" s="132"/>
      <c r="AV66" s="133"/>
      <c r="AW66" s="36"/>
      <c r="AX66" s="36"/>
      <c r="AY66" s="36"/>
      <c r="AZ66" s="36"/>
      <c r="BA66" s="36"/>
      <c r="BB66" s="37"/>
      <c r="BC66" s="59"/>
      <c r="BD66" s="59"/>
      <c r="BE66" s="59"/>
      <c r="BF66" s="59"/>
      <c r="BG66" s="59"/>
      <c r="BH66" s="77"/>
      <c r="BI66" s="78"/>
      <c r="BJ66" s="78"/>
      <c r="BK66" s="78"/>
      <c r="BL66" s="78"/>
      <c r="BM66" s="78"/>
      <c r="BN66" s="78"/>
      <c r="BO66" s="78"/>
      <c r="BP66" s="78"/>
      <c r="BQ66" s="40"/>
      <c r="BR66" s="40"/>
      <c r="BS66" s="41"/>
      <c r="BT66" s="36"/>
      <c r="BU66" s="36"/>
      <c r="BV66" s="36"/>
      <c r="BW66" s="36"/>
      <c r="BX66" s="37"/>
      <c r="BY66" s="261"/>
      <c r="BZ66" s="141"/>
      <c r="CA66" s="141"/>
      <c r="CB66" s="141"/>
      <c r="CC66" s="141"/>
      <c r="CD66" s="141"/>
      <c r="CE66" s="141"/>
      <c r="CF66" s="141"/>
      <c r="CG66" s="141"/>
      <c r="CH66" s="141"/>
      <c r="CI66" s="141"/>
      <c r="CJ66" s="142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7"/>
      <c r="CY66" s="19" t="s">
        <v>23</v>
      </c>
    </row>
    <row r="67" spans="2:107" ht="20.100000000000001" customHeight="1" thickTop="1" thickBot="1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76"/>
      <c r="AA67" s="36"/>
      <c r="AB67" s="36"/>
      <c r="AC67" s="36"/>
      <c r="AD67" s="36"/>
      <c r="AE67" s="36"/>
      <c r="AF67" s="63"/>
      <c r="AG67" s="64"/>
      <c r="AH67" s="64"/>
      <c r="AI67" s="64"/>
      <c r="AJ67" s="64"/>
      <c r="AK67" s="64"/>
      <c r="AL67" s="64"/>
      <c r="AM67" s="65"/>
      <c r="AN67" s="66"/>
      <c r="AO67" s="67"/>
      <c r="AP67" s="67"/>
      <c r="AQ67" s="67"/>
      <c r="AR67" s="67"/>
      <c r="AS67" s="67"/>
      <c r="AT67" s="67"/>
      <c r="AU67" s="67"/>
      <c r="AV67" s="68"/>
      <c r="AW67" s="36"/>
      <c r="AX67" s="36"/>
      <c r="AY67" s="36"/>
      <c r="AZ67" s="36"/>
      <c r="BA67" s="36"/>
      <c r="BB67" s="37"/>
      <c r="BC67" s="59"/>
      <c r="BD67" s="59"/>
      <c r="BE67" s="59"/>
      <c r="BF67" s="59"/>
      <c r="BG67" s="59"/>
      <c r="BH67" s="80"/>
      <c r="BI67" s="81"/>
      <c r="BJ67" s="81"/>
      <c r="BK67" s="81"/>
      <c r="BL67" s="81"/>
      <c r="BM67" s="81"/>
      <c r="BN67" s="81"/>
      <c r="BO67" s="81"/>
      <c r="BP67" s="81"/>
      <c r="BQ67" s="43"/>
      <c r="BR67" s="43"/>
      <c r="BS67" s="44"/>
      <c r="BT67" s="36"/>
      <c r="BU67" s="36"/>
      <c r="BV67" s="36"/>
      <c r="BW67" s="36"/>
      <c r="BX67" s="37"/>
      <c r="BY67" s="262"/>
      <c r="BZ67" s="129"/>
      <c r="CA67" s="129"/>
      <c r="CB67" s="129"/>
      <c r="CC67" s="129"/>
      <c r="CD67" s="129"/>
      <c r="CE67" s="129"/>
      <c r="CF67" s="129"/>
      <c r="CG67" s="129"/>
      <c r="CH67" s="129"/>
      <c r="CI67" s="129"/>
      <c r="CJ67" s="130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7"/>
      <c r="CY67" s="149">
        <f>DC67</f>
        <v>0</v>
      </c>
      <c r="CZ67" s="150"/>
      <c r="DA67" s="150"/>
      <c r="DB67" s="151"/>
      <c r="DC67" s="29">
        <f t="array" ref="DC67:DC68">TRANSPOSE(TotalUnitsAndWeightsSum(DECK8))</f>
        <v>0</v>
      </c>
    </row>
    <row r="68" spans="2:107" ht="20.100000000000001" customHeight="1" thickTop="1" thickBot="1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76"/>
      <c r="AA68" s="36"/>
      <c r="AB68" s="36"/>
      <c r="AC68" s="36"/>
      <c r="AD68" s="36"/>
      <c r="AE68" s="36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6"/>
      <c r="AX68" s="36"/>
      <c r="AY68" s="36"/>
      <c r="AZ68" s="36"/>
      <c r="BA68" s="36"/>
      <c r="BB68" s="37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36"/>
      <c r="BR68" s="36"/>
      <c r="BS68" s="36"/>
      <c r="BT68" s="36"/>
      <c r="BU68" s="36"/>
      <c r="BV68" s="36"/>
      <c r="BW68" s="36"/>
      <c r="BX68" s="37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7"/>
      <c r="CY68" s="146">
        <f>DC68</f>
        <v>0</v>
      </c>
      <c r="CZ68" s="147"/>
      <c r="DA68" s="147"/>
      <c r="DB68" s="148"/>
      <c r="DC68" s="29">
        <v>0</v>
      </c>
    </row>
    <row r="69" spans="2:107" ht="20.100000000000001" customHeight="1" thickTop="1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76"/>
      <c r="AA69" s="36"/>
      <c r="AB69" s="36"/>
      <c r="AC69" s="36"/>
      <c r="AD69" s="36"/>
      <c r="AE69" s="36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6"/>
      <c r="AX69" s="36"/>
      <c r="AY69" s="36"/>
      <c r="AZ69" s="36"/>
      <c r="BA69" s="36"/>
      <c r="BB69" s="37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7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7"/>
      <c r="CY69" s="20" t="s">
        <v>24</v>
      </c>
    </row>
    <row r="70" spans="2:107" ht="20.100000000000001" customHeight="1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7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7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7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7"/>
      <c r="CY70" s="21" t="s">
        <v>26</v>
      </c>
    </row>
    <row r="71" spans="2:107" ht="20.100000000000001" customHeight="1" thickBot="1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7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7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50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7"/>
    </row>
    <row r="72" spans="2:107" ht="20.100000000000001" customHeight="1">
      <c r="B72" s="33"/>
      <c r="C72" s="33"/>
      <c r="D72" s="33"/>
      <c r="E72" s="33"/>
      <c r="F72" s="34"/>
      <c r="G72" s="134"/>
      <c r="H72" s="135"/>
      <c r="I72" s="136"/>
      <c r="J72" s="144"/>
      <c r="K72" s="135"/>
      <c r="L72" s="135"/>
      <c r="M72" s="135"/>
      <c r="N72" s="136"/>
      <c r="O72" s="33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5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4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2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2"/>
      <c r="CP72" s="33"/>
      <c r="CQ72" s="33"/>
      <c r="CR72" s="33"/>
      <c r="CS72" s="33"/>
      <c r="CT72" s="33"/>
      <c r="CU72" s="33"/>
      <c r="CV72" s="33"/>
      <c r="CW72" s="33"/>
      <c r="CY72" s="16" t="s">
        <v>43</v>
      </c>
    </row>
    <row r="73" spans="2:107" ht="20.100000000000001" customHeight="1">
      <c r="B73" s="36"/>
      <c r="C73" s="36"/>
      <c r="D73" s="36"/>
      <c r="E73" s="36"/>
      <c r="F73" s="37"/>
      <c r="G73" s="36"/>
      <c r="H73" s="36"/>
      <c r="I73" s="36"/>
      <c r="J73" s="36"/>
      <c r="K73" s="36"/>
      <c r="L73" s="36"/>
      <c r="M73" s="36"/>
      <c r="N73" s="36"/>
      <c r="O73" s="36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7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7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5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5"/>
      <c r="CP73" s="36"/>
      <c r="CQ73" s="36"/>
      <c r="CR73" s="36"/>
      <c r="CS73" s="36"/>
      <c r="CT73" s="36"/>
      <c r="CU73" s="36"/>
      <c r="CV73" s="36"/>
      <c r="CW73" s="36"/>
      <c r="CY73" s="19" t="s">
        <v>23</v>
      </c>
    </row>
    <row r="74" spans="2:107" ht="20.100000000000001" customHeight="1">
      <c r="B74" s="36"/>
      <c r="C74" s="36"/>
      <c r="D74" s="36"/>
      <c r="E74" s="36"/>
      <c r="F74" s="37"/>
      <c r="G74" s="36"/>
      <c r="H74" s="36"/>
      <c r="I74" s="36"/>
      <c r="J74" s="36"/>
      <c r="K74" s="36"/>
      <c r="L74" s="36"/>
      <c r="M74" s="36"/>
      <c r="N74" s="36"/>
      <c r="O74" s="36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76"/>
      <c r="AA74" s="36"/>
      <c r="AB74" s="36"/>
      <c r="AC74" s="36"/>
      <c r="AD74" s="36"/>
      <c r="AE74" s="36"/>
      <c r="AF74" s="140" t="s">
        <v>12</v>
      </c>
      <c r="AG74" s="141"/>
      <c r="AH74" s="141"/>
      <c r="AI74" s="141"/>
      <c r="AJ74" s="141"/>
      <c r="AK74" s="141"/>
      <c r="AL74" s="141"/>
      <c r="AM74" s="141"/>
      <c r="AN74" s="142"/>
      <c r="AO74" s="132"/>
      <c r="AP74" s="132"/>
      <c r="AQ74" s="132"/>
      <c r="AR74" s="132"/>
      <c r="AS74" s="132"/>
      <c r="AT74" s="132"/>
      <c r="AU74" s="132"/>
      <c r="AV74" s="133"/>
      <c r="AW74" s="36"/>
      <c r="AX74" s="36"/>
      <c r="AY74" s="36"/>
      <c r="AZ74" s="36"/>
      <c r="BA74" s="36"/>
      <c r="BB74" s="37"/>
      <c r="BC74" s="36"/>
      <c r="BD74" s="36"/>
      <c r="BE74" s="45"/>
      <c r="BF74" s="45"/>
      <c r="BG74" s="45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4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5"/>
      <c r="CP74" s="36"/>
      <c r="CQ74" s="36"/>
      <c r="CR74" s="36"/>
      <c r="CS74" s="36"/>
      <c r="CT74" s="36"/>
      <c r="CU74" s="36"/>
      <c r="CV74" s="36"/>
      <c r="CW74" s="36"/>
      <c r="CY74" s="19" t="s">
        <v>27</v>
      </c>
    </row>
    <row r="75" spans="2:107" ht="20.100000000000001" customHeight="1" thickBot="1">
      <c r="B75" s="36"/>
      <c r="C75" s="36"/>
      <c r="D75" s="36"/>
      <c r="E75" s="36"/>
      <c r="F75" s="37"/>
      <c r="G75" s="36"/>
      <c r="H75" s="36"/>
      <c r="I75" s="36"/>
      <c r="J75" s="36"/>
      <c r="K75" s="36"/>
      <c r="L75" s="36"/>
      <c r="M75" s="36"/>
      <c r="N75" s="36"/>
      <c r="O75" s="36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76"/>
      <c r="AA75" s="36"/>
      <c r="AB75" s="36"/>
      <c r="AC75" s="36"/>
      <c r="AD75" s="36"/>
      <c r="AE75" s="36"/>
      <c r="AF75" s="128"/>
      <c r="AG75" s="129"/>
      <c r="AH75" s="129"/>
      <c r="AI75" s="129"/>
      <c r="AJ75" s="129"/>
      <c r="AK75" s="129"/>
      <c r="AL75" s="129"/>
      <c r="AM75" s="129"/>
      <c r="AN75" s="130"/>
      <c r="AO75" s="43"/>
      <c r="AP75" s="43"/>
      <c r="AQ75" s="43"/>
      <c r="AR75" s="43"/>
      <c r="AS75" s="43"/>
      <c r="AT75" s="43"/>
      <c r="AU75" s="43"/>
      <c r="AV75" s="44"/>
      <c r="AW75" s="36"/>
      <c r="AX75" s="36"/>
      <c r="AY75" s="36"/>
      <c r="AZ75" s="36"/>
      <c r="BA75" s="36"/>
      <c r="BB75" s="37"/>
      <c r="BC75" s="36"/>
      <c r="BD75" s="36"/>
      <c r="BE75" s="45"/>
      <c r="BF75" s="45"/>
      <c r="BG75" s="45"/>
      <c r="BH75" s="140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261"/>
      <c r="BZ75" s="141"/>
      <c r="CA75" s="142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5"/>
      <c r="CP75" s="36"/>
      <c r="CQ75" s="36"/>
      <c r="CR75" s="36"/>
      <c r="CS75" s="36"/>
      <c r="CT75" s="36"/>
      <c r="CU75" s="36"/>
      <c r="CV75" s="36"/>
      <c r="CW75" s="36"/>
      <c r="CY75" s="18" t="s">
        <v>28</v>
      </c>
    </row>
    <row r="76" spans="2:107" ht="20.100000000000001" customHeight="1" thickTop="1" thickBot="1">
      <c r="B76" s="36"/>
      <c r="C76" s="36"/>
      <c r="D76" s="36"/>
      <c r="E76" s="36"/>
      <c r="F76" s="37"/>
      <c r="G76" s="36"/>
      <c r="H76" s="36"/>
      <c r="I76" s="36"/>
      <c r="J76" s="36"/>
      <c r="K76" s="36"/>
      <c r="L76" s="36"/>
      <c r="M76" s="36"/>
      <c r="N76" s="36"/>
      <c r="O76" s="36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7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7"/>
      <c r="BC76" s="36"/>
      <c r="BD76" s="36"/>
      <c r="BE76" s="36"/>
      <c r="BF76" s="36"/>
      <c r="BG76" s="36"/>
      <c r="BH76" s="128"/>
      <c r="BI76" s="129"/>
      <c r="BJ76" s="129"/>
      <c r="BK76" s="129"/>
      <c r="BL76" s="129"/>
      <c r="BM76" s="129"/>
      <c r="BN76" s="129"/>
      <c r="BO76" s="129"/>
      <c r="BP76" s="129"/>
      <c r="BQ76" s="129"/>
      <c r="BR76" s="129"/>
      <c r="BS76" s="129"/>
      <c r="BT76" s="129"/>
      <c r="BU76" s="129"/>
      <c r="BV76" s="129"/>
      <c r="BW76" s="129"/>
      <c r="BX76" s="129"/>
      <c r="BY76" s="262"/>
      <c r="BZ76" s="129"/>
      <c r="CA76" s="130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5"/>
      <c r="CP76" s="36"/>
      <c r="CQ76" s="36"/>
      <c r="CR76" s="36"/>
      <c r="CS76" s="36"/>
      <c r="CT76" s="36"/>
      <c r="CU76" s="36"/>
      <c r="CV76" s="36"/>
      <c r="CW76" s="36"/>
      <c r="CY76" s="149">
        <f>DC76</f>
        <v>0</v>
      </c>
      <c r="CZ76" s="150"/>
      <c r="DA76" s="150"/>
      <c r="DB76" s="151"/>
      <c r="DC76" s="29">
        <f t="array" ref="DC76:DC77">TRANSPOSE(TotalUnitsAndWeightsSum(DECK7))</f>
        <v>0</v>
      </c>
    </row>
    <row r="77" spans="2:107" ht="20.100000000000001" customHeight="1" thickTop="1" thickBot="1">
      <c r="B77" s="36"/>
      <c r="C77" s="36"/>
      <c r="D77" s="36"/>
      <c r="E77" s="36"/>
      <c r="F77" s="37"/>
      <c r="G77" s="36"/>
      <c r="H77" s="36"/>
      <c r="I77" s="36"/>
      <c r="J77" s="36"/>
      <c r="K77" s="36"/>
      <c r="L77" s="36"/>
      <c r="M77" s="36"/>
      <c r="N77" s="36"/>
      <c r="O77" s="36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7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7"/>
      <c r="BC77" s="36"/>
      <c r="BD77" s="36"/>
      <c r="BE77" s="36"/>
      <c r="BF77" s="36"/>
      <c r="BG77" s="36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47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5"/>
      <c r="CP77" s="36"/>
      <c r="CQ77" s="36"/>
      <c r="CR77" s="36"/>
      <c r="CS77" s="36"/>
      <c r="CT77" s="36"/>
      <c r="CU77" s="36"/>
      <c r="CV77" s="36"/>
      <c r="CW77" s="36"/>
      <c r="CY77" s="146">
        <f>DC77</f>
        <v>0</v>
      </c>
      <c r="CZ77" s="147"/>
      <c r="DA77" s="147"/>
      <c r="DB77" s="148"/>
      <c r="DC77" s="29">
        <v>0</v>
      </c>
    </row>
    <row r="78" spans="2:107" ht="20.100000000000001" customHeight="1" thickTop="1">
      <c r="B78" s="36"/>
      <c r="C78" s="36"/>
      <c r="D78" s="36"/>
      <c r="E78" s="36"/>
      <c r="F78" s="37"/>
      <c r="G78" s="36"/>
      <c r="H78" s="36"/>
      <c r="I78" s="36"/>
      <c r="J78" s="36"/>
      <c r="K78" s="36"/>
      <c r="L78" s="36"/>
      <c r="M78" s="36"/>
      <c r="N78" s="36"/>
      <c r="O78" s="36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7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7"/>
      <c r="BC78" s="36"/>
      <c r="BD78" s="36"/>
      <c r="BE78" s="36"/>
      <c r="BF78" s="36"/>
      <c r="BG78" s="36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5"/>
      <c r="BZ78" s="38"/>
      <c r="CA78" s="38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5"/>
      <c r="CP78" s="36"/>
      <c r="CQ78" s="36"/>
      <c r="CR78" s="36"/>
      <c r="CS78" s="36"/>
      <c r="CT78" s="36"/>
      <c r="CU78" s="36"/>
      <c r="CV78" s="36"/>
      <c r="CW78" s="36"/>
      <c r="CY78" s="13" t="s">
        <v>29</v>
      </c>
    </row>
    <row r="79" spans="2:107" ht="20.100000000000001" customHeight="1">
      <c r="B79" s="36"/>
      <c r="C79" s="36"/>
      <c r="D79" s="36"/>
      <c r="E79" s="36"/>
      <c r="F79" s="37"/>
      <c r="G79" s="36"/>
      <c r="H79" s="36"/>
      <c r="I79" s="36"/>
      <c r="J79" s="36"/>
      <c r="K79" s="36"/>
      <c r="L79" s="36"/>
      <c r="M79" s="36"/>
      <c r="N79" s="36"/>
      <c r="O79" s="36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7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7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5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5"/>
      <c r="CP79" s="36"/>
      <c r="CQ79" s="36"/>
      <c r="CR79" s="36"/>
      <c r="CS79" s="36"/>
      <c r="CT79" s="36"/>
      <c r="CU79" s="36"/>
      <c r="CV79" s="36"/>
      <c r="CW79" s="36"/>
      <c r="CY79" s="14" t="s">
        <v>30</v>
      </c>
    </row>
    <row r="80" spans="2:107" ht="20.100000000000001" customHeight="1" thickBot="1">
      <c r="B80" s="36"/>
      <c r="C80" s="36"/>
      <c r="D80" s="36"/>
      <c r="E80" s="36"/>
      <c r="F80" s="37"/>
      <c r="G80" s="36"/>
      <c r="H80" s="36"/>
      <c r="I80" s="36"/>
      <c r="J80" s="36"/>
      <c r="K80" s="36"/>
      <c r="L80" s="36"/>
      <c r="M80" s="36"/>
      <c r="N80" s="36"/>
      <c r="O80" s="36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7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7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5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5"/>
      <c r="CP80" s="36"/>
      <c r="CQ80" s="36"/>
      <c r="CR80" s="36"/>
      <c r="CS80" s="36"/>
      <c r="CT80" s="36"/>
      <c r="CU80" s="36"/>
      <c r="CV80" s="36"/>
      <c r="CW80" s="36"/>
    </row>
    <row r="81" spans="2:109" ht="20.100000000000001" customHeight="1">
      <c r="B81" s="32"/>
      <c r="C81" s="33"/>
      <c r="D81" s="33"/>
      <c r="E81" s="33"/>
      <c r="F81" s="33"/>
      <c r="G81" s="33"/>
      <c r="H81" s="33"/>
      <c r="I81" s="33"/>
      <c r="J81" s="144"/>
      <c r="K81" s="135"/>
      <c r="L81" s="135"/>
      <c r="M81" s="135"/>
      <c r="N81" s="136"/>
      <c r="O81" s="33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5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4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2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5"/>
      <c r="CR81" s="36"/>
      <c r="CS81" s="36"/>
      <c r="CT81" s="36"/>
      <c r="CU81" s="36"/>
      <c r="CV81" s="36"/>
      <c r="CW81" s="36"/>
      <c r="CY81" s="152" t="s">
        <v>44</v>
      </c>
      <c r="CZ81" s="153"/>
      <c r="DA81" s="153"/>
      <c r="DB81" s="153"/>
      <c r="DC81" s="257" t="s">
        <v>42</v>
      </c>
      <c r="DD81" s="257"/>
      <c r="DE81" s="258"/>
    </row>
    <row r="82" spans="2:109" ht="20.100000000000001" customHeight="1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7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7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5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5"/>
      <c r="CR82" s="36"/>
      <c r="CS82" s="36"/>
      <c r="CT82" s="36"/>
      <c r="CU82" s="36"/>
      <c r="CV82" s="36"/>
      <c r="CW82" s="36"/>
      <c r="CY82" s="19" t="s">
        <v>5</v>
      </c>
    </row>
    <row r="83" spans="2:109" ht="20.100000000000001" customHeight="1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76"/>
      <c r="AA83" s="36"/>
      <c r="AB83" s="36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6"/>
      <c r="AX83" s="36"/>
      <c r="AY83" s="36"/>
      <c r="AZ83" s="36"/>
      <c r="BA83" s="36"/>
      <c r="BB83" s="37"/>
      <c r="BC83" s="36"/>
      <c r="BD83" s="36"/>
      <c r="BE83" s="36"/>
      <c r="BF83" s="36"/>
      <c r="BG83" s="36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5"/>
      <c r="BZ83" s="38"/>
      <c r="CA83" s="38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5"/>
      <c r="CR83" s="36"/>
      <c r="CS83" s="36"/>
      <c r="CT83" s="36"/>
      <c r="CU83" s="36"/>
      <c r="CV83" s="36"/>
      <c r="CW83" s="36"/>
      <c r="CY83" s="18" t="s">
        <v>4</v>
      </c>
    </row>
    <row r="84" spans="2:109" ht="20.100000000000001" customHeight="1" thickBot="1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76"/>
      <c r="AA84" s="36"/>
      <c r="AB84" s="36"/>
      <c r="AC84" s="39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1"/>
      <c r="AO84" s="69"/>
      <c r="AP84" s="67"/>
      <c r="AQ84" s="67"/>
      <c r="AR84" s="67"/>
      <c r="AS84" s="67"/>
      <c r="AT84" s="67"/>
      <c r="AU84" s="67"/>
      <c r="AV84" s="68"/>
      <c r="AW84" s="36"/>
      <c r="AX84" s="36"/>
      <c r="AY84" s="36"/>
      <c r="AZ84" s="36"/>
      <c r="BA84" s="36"/>
      <c r="BB84" s="37"/>
      <c r="BC84" s="36"/>
      <c r="BD84" s="36"/>
      <c r="BE84" s="36"/>
      <c r="BF84" s="36"/>
      <c r="BG84" s="36"/>
      <c r="BH84" s="39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1"/>
      <c r="BT84" s="39"/>
      <c r="BU84" s="40"/>
      <c r="BV84" s="40"/>
      <c r="BW84" s="40"/>
      <c r="BX84" s="40"/>
      <c r="BY84" s="47"/>
      <c r="BZ84" s="40"/>
      <c r="CA84" s="41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5"/>
      <c r="CR84" s="36"/>
      <c r="CS84" s="36"/>
      <c r="CT84" s="36"/>
      <c r="CU84" s="36"/>
      <c r="CV84" s="36"/>
      <c r="CW84" s="36"/>
      <c r="CY84" s="19" t="s">
        <v>23</v>
      </c>
    </row>
    <row r="85" spans="2:109" ht="20.100000000000001" customHeight="1" thickTop="1" thickBot="1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76"/>
      <c r="AA85" s="36"/>
      <c r="AB85" s="36"/>
      <c r="AC85" s="42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4"/>
      <c r="AO85" s="131"/>
      <c r="AP85" s="132"/>
      <c r="AQ85" s="132"/>
      <c r="AR85" s="132"/>
      <c r="AS85" s="132"/>
      <c r="AT85" s="132"/>
      <c r="AU85" s="132"/>
      <c r="AV85" s="133"/>
      <c r="AW85" s="36"/>
      <c r="AX85" s="36"/>
      <c r="AY85" s="36"/>
      <c r="AZ85" s="36"/>
      <c r="BA85" s="36"/>
      <c r="BB85" s="37"/>
      <c r="BC85" s="36"/>
      <c r="BD85" s="36"/>
      <c r="BE85" s="36"/>
      <c r="BF85" s="36"/>
      <c r="BG85" s="36"/>
      <c r="BH85" s="42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4"/>
      <c r="BT85" s="42"/>
      <c r="BU85" s="43"/>
      <c r="BV85" s="43"/>
      <c r="BW85" s="43"/>
      <c r="BX85" s="43"/>
      <c r="BY85" s="46"/>
      <c r="BZ85" s="43"/>
      <c r="CA85" s="44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5"/>
      <c r="CR85" s="36"/>
      <c r="CS85" s="36"/>
      <c r="CT85" s="36"/>
      <c r="CU85" s="36"/>
      <c r="CV85" s="36"/>
      <c r="CW85" s="36"/>
      <c r="CY85" s="149">
        <f>DC85</f>
        <v>0</v>
      </c>
      <c r="CZ85" s="150"/>
      <c r="DA85" s="150"/>
      <c r="DB85" s="151"/>
      <c r="DC85" s="29">
        <f t="array" ref="DC85:DC86">TRANSPOSE(TotalUnitsAndWeightsSum(DECK6))</f>
        <v>0</v>
      </c>
    </row>
    <row r="86" spans="2:109" ht="20.100000000000001" customHeight="1" thickTop="1" thickBot="1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76"/>
      <c r="AA86" s="36"/>
      <c r="AB86" s="36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6"/>
      <c r="AX86" s="36"/>
      <c r="AY86" s="36"/>
      <c r="AZ86" s="36"/>
      <c r="BA86" s="36"/>
      <c r="BB86" s="37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5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5"/>
      <c r="CR86" s="36"/>
      <c r="CS86" s="36"/>
      <c r="CT86" s="36"/>
      <c r="CU86" s="36"/>
      <c r="CV86" s="36"/>
      <c r="CW86" s="36"/>
      <c r="CY86" s="146">
        <f>DC86</f>
        <v>0</v>
      </c>
      <c r="CZ86" s="147"/>
      <c r="DA86" s="147"/>
      <c r="DB86" s="148"/>
      <c r="DC86" s="29">
        <v>0</v>
      </c>
    </row>
    <row r="87" spans="2:109" ht="20.100000000000001" customHeight="1" thickTop="1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76"/>
      <c r="AA87" s="36"/>
      <c r="AB87" s="36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6"/>
      <c r="AX87" s="36"/>
      <c r="AY87" s="36"/>
      <c r="AZ87" s="36"/>
      <c r="BA87" s="36"/>
      <c r="BB87" s="37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5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5"/>
      <c r="CR87" s="36"/>
      <c r="CS87" s="36"/>
      <c r="CT87" s="36"/>
      <c r="CU87" s="36"/>
      <c r="CV87" s="36"/>
      <c r="CW87" s="36"/>
      <c r="CY87" s="13" t="s">
        <v>24</v>
      </c>
    </row>
    <row r="88" spans="2:109" ht="20.100000000000001" customHeight="1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7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7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5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5"/>
      <c r="CR88" s="36"/>
      <c r="CS88" s="36"/>
      <c r="CT88" s="36"/>
      <c r="CU88" s="36"/>
      <c r="CV88" s="36"/>
      <c r="CW88" s="36"/>
      <c r="CY88" s="14" t="s">
        <v>25</v>
      </c>
    </row>
    <row r="89" spans="2:109" ht="20.100000000000001" customHeight="1" thickBot="1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7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7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5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5"/>
      <c r="CR89" s="36"/>
      <c r="CS89" s="36"/>
      <c r="CT89" s="36"/>
      <c r="CU89" s="36"/>
      <c r="CV89" s="36"/>
      <c r="CW89" s="36"/>
    </row>
    <row r="90" spans="2:109" ht="20.100000000000001" customHeight="1">
      <c r="B90" s="32"/>
      <c r="C90" s="33"/>
      <c r="D90" s="33"/>
      <c r="E90" s="33"/>
      <c r="F90" s="33"/>
      <c r="G90" s="33"/>
      <c r="H90" s="33"/>
      <c r="I90" s="33"/>
      <c r="J90" s="125"/>
      <c r="K90" s="126"/>
      <c r="L90" s="126"/>
      <c r="M90" s="126"/>
      <c r="N90" s="126"/>
      <c r="O90" s="126"/>
      <c r="P90" s="127"/>
      <c r="Q90" s="33"/>
      <c r="R90" s="33"/>
      <c r="S90" s="33"/>
      <c r="T90" s="144"/>
      <c r="U90" s="135"/>
      <c r="V90" s="135"/>
      <c r="W90" s="135"/>
      <c r="X90" s="135"/>
      <c r="Y90" s="135"/>
      <c r="Z90" s="145"/>
      <c r="AA90" s="134"/>
      <c r="AB90" s="135"/>
      <c r="AC90" s="135"/>
      <c r="AD90" s="135"/>
      <c r="AE90" s="135"/>
      <c r="AF90" s="135"/>
      <c r="AG90" s="135"/>
      <c r="AH90" s="135"/>
      <c r="AI90" s="135"/>
      <c r="AJ90" s="135"/>
      <c r="AK90" s="136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4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2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5"/>
      <c r="CR90" s="38"/>
      <c r="CS90" s="38"/>
      <c r="CT90" s="38"/>
      <c r="CU90" s="38"/>
      <c r="CV90" s="38"/>
      <c r="CW90" s="38"/>
      <c r="CY90" s="16" t="s">
        <v>45</v>
      </c>
    </row>
    <row r="91" spans="2:109" ht="20.100000000000001" customHeight="1">
      <c r="B91" s="35"/>
      <c r="C91" s="36"/>
      <c r="D91" s="36"/>
      <c r="E91" s="36"/>
      <c r="F91" s="36"/>
      <c r="G91" s="36"/>
      <c r="H91" s="36"/>
      <c r="I91" s="36"/>
      <c r="J91" s="128"/>
      <c r="K91" s="129"/>
      <c r="L91" s="129"/>
      <c r="M91" s="129"/>
      <c r="N91" s="129"/>
      <c r="O91" s="129"/>
      <c r="P91" s="130"/>
      <c r="Q91" s="36"/>
      <c r="R91" s="36"/>
      <c r="S91" s="36"/>
      <c r="T91" s="36"/>
      <c r="U91" s="36"/>
      <c r="V91" s="36"/>
      <c r="W91" s="36"/>
      <c r="X91" s="36"/>
      <c r="Y91" s="36"/>
      <c r="Z91" s="37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7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5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5"/>
      <c r="CR91" s="38"/>
      <c r="CS91" s="38"/>
      <c r="CT91" s="38"/>
      <c r="CU91" s="38"/>
      <c r="CV91" s="38"/>
      <c r="CW91" s="38"/>
      <c r="CY91" s="19" t="s">
        <v>31</v>
      </c>
    </row>
    <row r="92" spans="2:109" ht="20.100000000000001" customHeight="1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7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7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5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5"/>
      <c r="CR92" s="38"/>
      <c r="CS92" s="38"/>
      <c r="CT92" s="38"/>
      <c r="CU92" s="38"/>
      <c r="CV92" s="38"/>
      <c r="CW92" s="38"/>
      <c r="CY92" s="18" t="s">
        <v>32</v>
      </c>
    </row>
    <row r="93" spans="2:109" ht="20.100000000000001" customHeight="1" thickBot="1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7"/>
      <c r="AA93" s="36"/>
      <c r="AB93" s="36"/>
      <c r="AC93" s="140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2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7"/>
      <c r="BC93" s="36"/>
      <c r="BD93" s="36"/>
      <c r="BE93" s="36"/>
      <c r="BF93" s="36"/>
      <c r="BG93" s="36"/>
      <c r="BH93" s="140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2"/>
      <c r="BT93" s="36"/>
      <c r="BU93" s="36"/>
      <c r="BV93" s="36"/>
      <c r="BW93" s="36"/>
      <c r="BX93" s="36"/>
      <c r="BY93" s="35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5"/>
      <c r="CR93" s="38"/>
      <c r="CS93" s="38"/>
      <c r="CT93" s="38"/>
      <c r="CU93" s="38"/>
      <c r="CV93" s="38"/>
      <c r="CW93" s="38"/>
      <c r="CY93" s="19" t="s">
        <v>33</v>
      </c>
    </row>
    <row r="94" spans="2:109" ht="20.100000000000001" customHeight="1" thickTop="1" thickBot="1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7"/>
      <c r="AA94" s="36"/>
      <c r="AB94" s="36"/>
      <c r="AC94" s="467"/>
      <c r="AD94" s="468"/>
      <c r="AE94" s="468"/>
      <c r="AF94" s="468"/>
      <c r="AG94" s="468"/>
      <c r="AH94" s="468"/>
      <c r="AI94" s="468"/>
      <c r="AJ94" s="468"/>
      <c r="AK94" s="468"/>
      <c r="AL94" s="468"/>
      <c r="AM94" s="468"/>
      <c r="AN94" s="469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7"/>
      <c r="BC94" s="36"/>
      <c r="BD94" s="36"/>
      <c r="BE94" s="36"/>
      <c r="BF94" s="36"/>
      <c r="BG94" s="36"/>
      <c r="BH94" s="467"/>
      <c r="BI94" s="468"/>
      <c r="BJ94" s="468"/>
      <c r="BK94" s="468"/>
      <c r="BL94" s="468"/>
      <c r="BM94" s="468"/>
      <c r="BN94" s="468"/>
      <c r="BO94" s="468"/>
      <c r="BP94" s="468"/>
      <c r="BQ94" s="468"/>
      <c r="BR94" s="468"/>
      <c r="BS94" s="469"/>
      <c r="BT94" s="36"/>
      <c r="BU94" s="36"/>
      <c r="BV94" s="36"/>
      <c r="BW94" s="36"/>
      <c r="BX94" s="36"/>
      <c r="BY94" s="35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5"/>
      <c r="CR94" s="38"/>
      <c r="CS94" s="38"/>
      <c r="CT94" s="38"/>
      <c r="CU94" s="38"/>
      <c r="CV94" s="38"/>
      <c r="CW94" s="38"/>
      <c r="CY94" s="149">
        <f>DC94</f>
        <v>0</v>
      </c>
      <c r="CZ94" s="150"/>
      <c r="DA94" s="150"/>
      <c r="DB94" s="151"/>
      <c r="DC94" s="29">
        <f t="array" ref="DC94:DC95">TRANSPOSE(TotalUnitsAndWeightsSum(DECK5))</f>
        <v>0</v>
      </c>
    </row>
    <row r="95" spans="2:109" ht="20.100000000000001" customHeight="1" thickTop="1" thickBot="1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7"/>
      <c r="AA95" s="36"/>
      <c r="AB95" s="36"/>
      <c r="AC95" s="128"/>
      <c r="AD95" s="129"/>
      <c r="AE95" s="129"/>
      <c r="AF95" s="129"/>
      <c r="AG95" s="129"/>
      <c r="AH95" s="129"/>
      <c r="AI95" s="129"/>
      <c r="AJ95" s="129"/>
      <c r="AK95" s="129"/>
      <c r="AL95" s="129"/>
      <c r="AM95" s="129"/>
      <c r="AN95" s="130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7"/>
      <c r="BC95" s="36"/>
      <c r="BD95" s="36"/>
      <c r="BE95" s="36"/>
      <c r="BF95" s="36"/>
      <c r="BG95" s="36"/>
      <c r="BH95" s="128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30"/>
      <c r="BT95" s="36"/>
      <c r="BU95" s="36"/>
      <c r="BV95" s="36"/>
      <c r="BW95" s="36"/>
      <c r="BX95" s="36"/>
      <c r="BY95" s="35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5"/>
      <c r="CR95" s="38"/>
      <c r="CS95" s="38"/>
      <c r="CT95" s="38"/>
      <c r="CU95" s="38"/>
      <c r="CV95" s="38"/>
      <c r="CW95" s="38"/>
      <c r="CY95" s="146">
        <f>DC95</f>
        <v>0</v>
      </c>
      <c r="CZ95" s="147"/>
      <c r="DA95" s="147"/>
      <c r="DB95" s="148"/>
      <c r="DC95" s="29">
        <v>0</v>
      </c>
    </row>
    <row r="96" spans="2:109" ht="20.100000000000001" customHeight="1" thickTop="1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7"/>
      <c r="AA96" s="36"/>
      <c r="AB96" s="36"/>
      <c r="AC96" s="36"/>
      <c r="AD96" s="36"/>
      <c r="AE96" s="36"/>
      <c r="AF96" s="36"/>
      <c r="AG96" s="36"/>
      <c r="AH96" s="54"/>
      <c r="AI96" s="36"/>
      <c r="AJ96" s="36"/>
      <c r="AK96" s="36"/>
      <c r="AL96" s="36"/>
      <c r="AM96" s="36"/>
      <c r="AN96" s="36"/>
      <c r="AO96" s="52"/>
      <c r="AP96" s="52"/>
      <c r="AQ96" s="52"/>
      <c r="AR96" s="53"/>
      <c r="AS96" s="36"/>
      <c r="AT96" s="36"/>
      <c r="AU96" s="36"/>
      <c r="AV96" s="36"/>
      <c r="AW96" s="36"/>
      <c r="AX96" s="36"/>
      <c r="AY96" s="36"/>
      <c r="AZ96" s="36"/>
      <c r="BA96" s="36"/>
      <c r="BB96" s="37"/>
      <c r="BC96" s="36"/>
      <c r="BD96" s="36"/>
      <c r="BE96" s="36"/>
      <c r="BF96" s="36"/>
      <c r="BG96" s="36"/>
      <c r="BH96" s="36"/>
      <c r="BI96" s="51"/>
      <c r="BJ96" s="52"/>
      <c r="BK96" s="52"/>
      <c r="BL96" s="52"/>
      <c r="BM96" s="52"/>
      <c r="BN96" s="52"/>
      <c r="BO96" s="52"/>
      <c r="BP96" s="52"/>
      <c r="BQ96" s="52"/>
      <c r="BR96" s="52"/>
      <c r="BS96" s="53"/>
      <c r="BT96" s="36"/>
      <c r="BU96" s="36"/>
      <c r="BV96" s="36"/>
      <c r="BW96" s="36"/>
      <c r="BX96" s="36"/>
      <c r="BY96" s="35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5"/>
      <c r="CR96" s="38"/>
      <c r="CS96" s="38"/>
      <c r="CT96" s="38"/>
      <c r="CU96" s="38"/>
      <c r="CV96" s="38"/>
      <c r="CW96" s="38"/>
      <c r="CY96" s="13" t="s">
        <v>34</v>
      </c>
    </row>
    <row r="97" spans="2:107" ht="20.100000000000001" customHeight="1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7"/>
      <c r="AA97" s="36"/>
      <c r="AB97" s="36"/>
      <c r="AC97" s="36"/>
      <c r="AD97" s="36"/>
      <c r="AE97" s="36"/>
      <c r="AF97" s="36"/>
      <c r="AG97" s="36"/>
      <c r="AH97" s="54"/>
      <c r="AI97" s="36"/>
      <c r="AJ97" s="36"/>
      <c r="AK97" s="36"/>
      <c r="AL97" s="36"/>
      <c r="AM97" s="36"/>
      <c r="AN97" s="36"/>
      <c r="AO97" s="36"/>
      <c r="AP97" s="36"/>
      <c r="AQ97" s="36"/>
      <c r="AR97" s="55"/>
      <c r="AS97" s="36"/>
      <c r="AT97" s="36"/>
      <c r="AU97" s="36"/>
      <c r="AV97" s="36"/>
      <c r="AW97" s="36"/>
      <c r="AX97" s="36"/>
      <c r="AY97" s="36"/>
      <c r="AZ97" s="36"/>
      <c r="BA97" s="36"/>
      <c r="BB97" s="37"/>
      <c r="BC97" s="36"/>
      <c r="BD97" s="36"/>
      <c r="BE97" s="36"/>
      <c r="BF97" s="36"/>
      <c r="BG97" s="36"/>
      <c r="BH97" s="36"/>
      <c r="BI97" s="54"/>
      <c r="BJ97" s="36"/>
      <c r="BK97" s="36"/>
      <c r="BL97" s="36"/>
      <c r="BM97" s="36"/>
      <c r="BN97" s="36"/>
      <c r="BO97" s="36"/>
      <c r="BP97" s="36"/>
      <c r="BQ97" s="36"/>
      <c r="BR97" s="36"/>
      <c r="BS97" s="55"/>
      <c r="BT97" s="36"/>
      <c r="BU97" s="36"/>
      <c r="BV97" s="36"/>
      <c r="BW97" s="36"/>
      <c r="BX97" s="36"/>
      <c r="BY97" s="35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5"/>
      <c r="CR97" s="38"/>
      <c r="CS97" s="38"/>
      <c r="CT97" s="38"/>
      <c r="CU97" s="38"/>
      <c r="CV97" s="38"/>
      <c r="CW97" s="38"/>
      <c r="CY97" s="14" t="s">
        <v>35</v>
      </c>
    </row>
    <row r="98" spans="2:107" ht="20.100000000000001" customHeight="1" thickBot="1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7"/>
      <c r="AA98" s="36"/>
      <c r="AB98" s="36"/>
      <c r="AC98" s="36"/>
      <c r="AD98" s="36"/>
      <c r="AE98" s="36"/>
      <c r="AF98" s="36"/>
      <c r="AG98" s="36"/>
      <c r="AH98" s="56"/>
      <c r="AI98" s="57"/>
      <c r="AJ98" s="57"/>
      <c r="AK98" s="57"/>
      <c r="AL98" s="57"/>
      <c r="AM98" s="57"/>
      <c r="AN98" s="57"/>
      <c r="AO98" s="57"/>
      <c r="AP98" s="57"/>
      <c r="AQ98" s="57"/>
      <c r="AR98" s="58"/>
      <c r="AS98" s="36"/>
      <c r="AT98" s="36"/>
      <c r="AU98" s="36"/>
      <c r="AV98" s="36"/>
      <c r="AW98" s="36"/>
      <c r="AX98" s="36"/>
      <c r="AY98" s="36"/>
      <c r="AZ98" s="36"/>
      <c r="BA98" s="36"/>
      <c r="BB98" s="37"/>
      <c r="BC98" s="36"/>
      <c r="BD98" s="36"/>
      <c r="BE98" s="36"/>
      <c r="BF98" s="36"/>
      <c r="BG98" s="36"/>
      <c r="BH98" s="36"/>
      <c r="BI98" s="56"/>
      <c r="BJ98" s="57"/>
      <c r="BK98" s="57"/>
      <c r="BL98" s="57"/>
      <c r="BM98" s="57"/>
      <c r="BN98" s="57"/>
      <c r="BO98" s="57"/>
      <c r="BP98" s="57"/>
      <c r="BQ98" s="57"/>
      <c r="BR98" s="57"/>
      <c r="BS98" s="58"/>
      <c r="BT98" s="36"/>
      <c r="BU98" s="36"/>
      <c r="BV98" s="36"/>
      <c r="BW98" s="36"/>
      <c r="BX98" s="36"/>
      <c r="BY98" s="35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7"/>
      <c r="CQ98" s="35"/>
      <c r="CR98" s="38"/>
      <c r="CS98" s="38"/>
      <c r="CT98" s="38"/>
      <c r="CU98" s="38"/>
      <c r="CV98" s="38"/>
      <c r="CW98" s="38"/>
    </row>
    <row r="99" spans="2:107" ht="20.100000000000001" customHeight="1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7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7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5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7"/>
      <c r="CQ99" s="35"/>
      <c r="CR99" s="38"/>
      <c r="CS99" s="38"/>
      <c r="CT99" s="38"/>
      <c r="CU99" s="38"/>
      <c r="CV99" s="38"/>
      <c r="CW99" s="38"/>
    </row>
    <row r="100" spans="2:107" ht="20.100000000000001" customHeight="1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140"/>
      <c r="Z100" s="487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7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5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7"/>
      <c r="CQ100" s="35"/>
      <c r="CR100" s="38"/>
      <c r="CS100" s="38"/>
      <c r="CT100" s="38"/>
      <c r="CU100" s="38"/>
      <c r="CV100" s="38"/>
      <c r="CW100" s="38"/>
    </row>
    <row r="101" spans="2:107" ht="20.100000000000001" customHeight="1" thickBot="1">
      <c r="B101" s="48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143"/>
      <c r="W101" s="138"/>
      <c r="X101" s="139"/>
      <c r="Y101" s="488"/>
      <c r="Z101" s="489"/>
      <c r="AA101" s="137"/>
      <c r="AB101" s="138"/>
      <c r="AC101" s="138"/>
      <c r="AD101" s="138"/>
      <c r="AE101" s="138"/>
      <c r="AF101" s="138"/>
      <c r="AG101" s="138"/>
      <c r="AH101" s="138"/>
      <c r="AI101" s="139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7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5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7"/>
      <c r="CQ101" s="35"/>
      <c r="CR101" s="38"/>
      <c r="CS101" s="38"/>
      <c r="CT101" s="38"/>
      <c r="CU101" s="38"/>
      <c r="CV101" s="38"/>
      <c r="CW101" s="38"/>
    </row>
    <row r="102" spans="2:107" ht="20.100000000000001" customHeight="1">
      <c r="AA102" s="32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4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2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4"/>
      <c r="CQ102" s="38"/>
      <c r="CR102" s="38"/>
      <c r="CS102" s="38"/>
      <c r="CT102" s="38"/>
      <c r="CU102" s="38"/>
      <c r="CV102" s="38"/>
      <c r="CW102" s="38"/>
      <c r="CY102" s="11" t="s">
        <v>46</v>
      </c>
    </row>
    <row r="103" spans="2:107" ht="20.100000000000001" customHeight="1" thickBot="1">
      <c r="AA103" s="35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7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5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7"/>
      <c r="CQ103" s="38"/>
      <c r="CR103" s="38"/>
      <c r="CS103" s="38"/>
      <c r="CT103" s="38"/>
      <c r="CU103" s="38"/>
      <c r="CV103" s="38"/>
      <c r="CW103" s="38"/>
      <c r="CY103" s="12" t="s">
        <v>23</v>
      </c>
    </row>
    <row r="104" spans="2:107" ht="20.100000000000001" customHeight="1" thickTop="1" thickBot="1">
      <c r="AA104" s="35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7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5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7"/>
      <c r="CQ104" s="38"/>
      <c r="CR104" s="38"/>
      <c r="CS104" s="38"/>
      <c r="CT104" s="38"/>
      <c r="CU104" s="38"/>
      <c r="CV104" s="38"/>
      <c r="CW104" s="38"/>
      <c r="CY104" s="149">
        <f>DC104</f>
        <v>0</v>
      </c>
      <c r="CZ104" s="150"/>
      <c r="DA104" s="150"/>
      <c r="DB104" s="151"/>
      <c r="DC104" s="29">
        <f t="array" ref="DC104:DC105">TRANSPOSE(TotalUnitsAndWeightsSum(DECK4))</f>
        <v>0</v>
      </c>
    </row>
    <row r="105" spans="2:107" ht="20.100000000000001" customHeight="1" thickTop="1" thickBot="1">
      <c r="AA105" s="35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7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5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7"/>
      <c r="CQ105" s="38"/>
      <c r="CR105" s="38"/>
      <c r="CS105" s="38"/>
      <c r="CT105" s="38"/>
      <c r="CU105" s="38"/>
      <c r="CV105" s="38"/>
      <c r="CW105" s="38"/>
      <c r="CY105" s="146">
        <f>DC105</f>
        <v>0</v>
      </c>
      <c r="CZ105" s="147"/>
      <c r="DA105" s="147"/>
      <c r="DB105" s="148"/>
      <c r="DC105" s="29">
        <v>0</v>
      </c>
    </row>
    <row r="106" spans="2:107" ht="20.100000000000001" customHeight="1" thickTop="1">
      <c r="AA106" s="35"/>
      <c r="AB106" s="36"/>
      <c r="AC106" s="36"/>
      <c r="AD106" s="36"/>
      <c r="AE106" s="36"/>
      <c r="AF106" s="36"/>
      <c r="AG106" s="36"/>
      <c r="AH106" s="140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2"/>
      <c r="AS106" s="36"/>
      <c r="AT106" s="36"/>
      <c r="AU106" s="36"/>
      <c r="AV106" s="36"/>
      <c r="AW106" s="36"/>
      <c r="AX106" s="36"/>
      <c r="AY106" s="36"/>
      <c r="AZ106" s="36"/>
      <c r="BA106" s="36"/>
      <c r="BB106" s="37"/>
      <c r="BC106" s="36"/>
      <c r="BD106" s="36"/>
      <c r="BE106" s="36"/>
      <c r="BF106" s="36"/>
      <c r="BG106" s="36"/>
      <c r="BH106" s="36"/>
      <c r="BI106" s="140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2"/>
      <c r="BT106" s="36"/>
      <c r="BU106" s="36"/>
      <c r="BV106" s="36"/>
      <c r="BW106" s="36"/>
      <c r="BX106" s="36"/>
      <c r="BY106" s="35"/>
      <c r="BZ106" s="36"/>
      <c r="CA106" s="59"/>
      <c r="CB106" s="59"/>
      <c r="CC106" s="59"/>
      <c r="CD106" s="59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7"/>
      <c r="CQ106" s="38"/>
      <c r="CR106" s="38"/>
      <c r="CS106" s="38"/>
      <c r="CT106" s="38"/>
      <c r="CU106" s="38"/>
      <c r="CV106" s="38"/>
      <c r="CW106" s="38"/>
      <c r="CY106" s="13" t="s">
        <v>24</v>
      </c>
    </row>
    <row r="107" spans="2:107" ht="20.100000000000001" customHeight="1">
      <c r="AA107" s="35"/>
      <c r="AB107" s="36"/>
      <c r="AC107" s="36"/>
      <c r="AD107" s="36"/>
      <c r="AE107" s="36"/>
      <c r="AF107" s="36"/>
      <c r="AG107" s="36"/>
      <c r="AH107" s="128"/>
      <c r="AI107" s="129"/>
      <c r="AJ107" s="129"/>
      <c r="AK107" s="129"/>
      <c r="AL107" s="129"/>
      <c r="AM107" s="129"/>
      <c r="AN107" s="129"/>
      <c r="AO107" s="129"/>
      <c r="AP107" s="129"/>
      <c r="AQ107" s="129"/>
      <c r="AR107" s="130"/>
      <c r="AS107" s="36"/>
      <c r="AT107" s="36"/>
      <c r="AU107" s="36"/>
      <c r="AV107" s="36"/>
      <c r="AW107" s="36"/>
      <c r="AX107" s="36"/>
      <c r="AY107" s="36"/>
      <c r="AZ107" s="36"/>
      <c r="BA107" s="36"/>
      <c r="BB107" s="37"/>
      <c r="BC107" s="36"/>
      <c r="BD107" s="36"/>
      <c r="BE107" s="36"/>
      <c r="BF107" s="36"/>
      <c r="BG107" s="36"/>
      <c r="BH107" s="36"/>
      <c r="BI107" s="128"/>
      <c r="BJ107" s="129"/>
      <c r="BK107" s="129"/>
      <c r="BL107" s="129"/>
      <c r="BM107" s="129"/>
      <c r="BN107" s="129"/>
      <c r="BO107" s="129"/>
      <c r="BP107" s="129"/>
      <c r="BQ107" s="129"/>
      <c r="BR107" s="129"/>
      <c r="BS107" s="130"/>
      <c r="BT107" s="36"/>
      <c r="BU107" s="36"/>
      <c r="BV107" s="36"/>
      <c r="BW107" s="36"/>
      <c r="BX107" s="36"/>
      <c r="BY107" s="35"/>
      <c r="BZ107" s="36"/>
      <c r="CA107" s="59"/>
      <c r="CB107" s="59"/>
      <c r="CC107" s="59"/>
      <c r="CD107" s="59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7"/>
      <c r="CQ107" s="38"/>
      <c r="CR107" s="38"/>
      <c r="CS107" s="38"/>
      <c r="CT107" s="38"/>
      <c r="CU107" s="38"/>
      <c r="CV107" s="38"/>
      <c r="CW107" s="38"/>
      <c r="CY107" s="14" t="s">
        <v>25</v>
      </c>
    </row>
    <row r="108" spans="2:107" ht="20.100000000000001" customHeight="1">
      <c r="AA108" s="35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7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5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7"/>
      <c r="CQ108" s="38"/>
      <c r="CR108" s="38"/>
      <c r="CS108" s="38"/>
      <c r="CT108" s="38"/>
      <c r="CU108" s="38"/>
      <c r="CV108" s="38"/>
      <c r="CW108" s="38"/>
    </row>
    <row r="109" spans="2:107" ht="20.100000000000001" customHeight="1">
      <c r="AA109" s="35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7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5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7"/>
      <c r="CQ109" s="38"/>
      <c r="CR109" s="38"/>
      <c r="CS109" s="38"/>
      <c r="CT109" s="38"/>
      <c r="CU109" s="38"/>
      <c r="CV109" s="38"/>
      <c r="CW109" s="38"/>
    </row>
    <row r="110" spans="2:107" ht="20.100000000000001" customHeight="1" thickBot="1">
      <c r="AA110" s="35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7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5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7"/>
      <c r="CQ110" s="38"/>
      <c r="CR110" s="38"/>
      <c r="CS110" s="38"/>
      <c r="CT110" s="38"/>
      <c r="CU110" s="38"/>
      <c r="CV110" s="38"/>
      <c r="CW110" s="38"/>
    </row>
    <row r="111" spans="2:107" ht="20.100000000000001" customHeight="1">
      <c r="AA111" s="32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4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2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4"/>
      <c r="CL111" s="33"/>
      <c r="CM111" s="33"/>
      <c r="CN111" s="33"/>
      <c r="CO111" s="33"/>
      <c r="CP111" s="33"/>
      <c r="CQ111" s="38"/>
      <c r="CR111" s="38"/>
      <c r="CS111" s="38"/>
      <c r="CT111" s="38"/>
      <c r="CU111" s="38"/>
      <c r="CV111" s="38"/>
      <c r="CW111" s="38"/>
      <c r="CX111" s="4"/>
      <c r="CY111" s="11" t="s">
        <v>47</v>
      </c>
    </row>
    <row r="112" spans="2:107" ht="20.100000000000001" customHeight="1" thickBot="1">
      <c r="AA112" s="35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59"/>
      <c r="AV112" s="59"/>
      <c r="AW112" s="59"/>
      <c r="AX112" s="59"/>
      <c r="AY112" s="36"/>
      <c r="AZ112" s="36"/>
      <c r="BA112" s="36"/>
      <c r="BB112" s="37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5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7"/>
      <c r="CL112" s="36"/>
      <c r="CM112" s="36"/>
      <c r="CN112" s="36"/>
      <c r="CO112" s="36"/>
      <c r="CP112" s="36"/>
      <c r="CQ112" s="38"/>
      <c r="CR112" s="38"/>
      <c r="CS112" s="38"/>
      <c r="CT112" s="38"/>
      <c r="CU112" s="38"/>
      <c r="CV112" s="38"/>
      <c r="CW112" s="38"/>
      <c r="CX112" s="4"/>
      <c r="CY112" s="12" t="s">
        <v>23</v>
      </c>
    </row>
    <row r="113" spans="27:107" ht="20.100000000000001" customHeight="1" thickTop="1" thickBot="1">
      <c r="AA113" s="35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59"/>
      <c r="AV113" s="59"/>
      <c r="AW113" s="59"/>
      <c r="AX113" s="59"/>
      <c r="AY113" s="36"/>
      <c r="AZ113" s="36"/>
      <c r="BA113" s="36"/>
      <c r="BB113" s="37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5"/>
      <c r="BZ113" s="36"/>
      <c r="CA113" s="36"/>
      <c r="CB113" s="59"/>
      <c r="CC113" s="59"/>
      <c r="CD113" s="59"/>
      <c r="CE113" s="59"/>
      <c r="CF113" s="36"/>
      <c r="CG113" s="36"/>
      <c r="CH113" s="36"/>
      <c r="CI113" s="36"/>
      <c r="CJ113" s="36"/>
      <c r="CK113" s="37"/>
      <c r="CL113" s="36"/>
      <c r="CM113" s="36"/>
      <c r="CN113" s="36"/>
      <c r="CO113" s="36"/>
      <c r="CP113" s="36"/>
      <c r="CQ113" s="38"/>
      <c r="CR113" s="38"/>
      <c r="CS113" s="38"/>
      <c r="CT113" s="38"/>
      <c r="CU113" s="38"/>
      <c r="CV113" s="38"/>
      <c r="CW113" s="38"/>
      <c r="CX113" s="4"/>
      <c r="CY113" s="149">
        <f>DC113</f>
        <v>0</v>
      </c>
      <c r="CZ113" s="150"/>
      <c r="DA113" s="150"/>
      <c r="DB113" s="151"/>
      <c r="DC113" s="29">
        <f t="array" ref="DC113:DC114">TRANSPOSE(TotalUnitsAndWeightsSum(DECK3))</f>
        <v>0</v>
      </c>
    </row>
    <row r="114" spans="27:107" ht="20.100000000000001" customHeight="1" thickTop="1" thickBot="1">
      <c r="AA114" s="35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7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5"/>
      <c r="BZ114" s="36"/>
      <c r="CA114" s="36"/>
      <c r="CB114" s="59"/>
      <c r="CC114" s="59"/>
      <c r="CD114" s="59"/>
      <c r="CE114" s="59"/>
      <c r="CF114" s="36"/>
      <c r="CG114" s="36"/>
      <c r="CH114" s="36"/>
      <c r="CI114" s="36"/>
      <c r="CJ114" s="36"/>
      <c r="CK114" s="37"/>
      <c r="CL114" s="36"/>
      <c r="CM114" s="36"/>
      <c r="CN114" s="36"/>
      <c r="CO114" s="36"/>
      <c r="CP114" s="36"/>
      <c r="CQ114" s="38"/>
      <c r="CR114" s="38"/>
      <c r="CS114" s="38"/>
      <c r="CT114" s="38"/>
      <c r="CU114" s="38"/>
      <c r="CV114" s="38"/>
      <c r="CW114" s="38"/>
      <c r="CY114" s="146">
        <f>DC114</f>
        <v>0</v>
      </c>
      <c r="CZ114" s="147"/>
      <c r="DA114" s="147"/>
      <c r="DB114" s="148"/>
      <c r="DC114" s="29">
        <v>0</v>
      </c>
    </row>
    <row r="115" spans="27:107" ht="20.100000000000001" customHeight="1" thickTop="1">
      <c r="AA115" s="35"/>
      <c r="AB115" s="36"/>
      <c r="AC115" s="36"/>
      <c r="AD115" s="36"/>
      <c r="AE115" s="36"/>
      <c r="AF115" s="36"/>
      <c r="AG115" s="36"/>
      <c r="AH115" s="39"/>
      <c r="AI115" s="40"/>
      <c r="AJ115" s="40"/>
      <c r="AK115" s="40"/>
      <c r="AL115" s="40"/>
      <c r="AM115" s="40"/>
      <c r="AN115" s="40"/>
      <c r="AO115" s="40"/>
      <c r="AP115" s="40"/>
      <c r="AQ115" s="40"/>
      <c r="AR115" s="41"/>
      <c r="AS115" s="36"/>
      <c r="AT115" s="36"/>
      <c r="AU115" s="36"/>
      <c r="AV115" s="36"/>
      <c r="AW115" s="36"/>
      <c r="AX115" s="36"/>
      <c r="AY115" s="36"/>
      <c r="AZ115" s="36"/>
      <c r="BA115" s="36"/>
      <c r="BB115" s="37"/>
      <c r="BC115" s="36"/>
      <c r="BD115" s="36"/>
      <c r="BE115" s="36"/>
      <c r="BF115" s="36"/>
      <c r="BG115" s="36"/>
      <c r="BH115" s="36"/>
      <c r="BI115" s="39"/>
      <c r="BJ115" s="40"/>
      <c r="BK115" s="40"/>
      <c r="BL115" s="40"/>
      <c r="BM115" s="40"/>
      <c r="BN115" s="40"/>
      <c r="BO115" s="40"/>
      <c r="BP115" s="40"/>
      <c r="BQ115" s="40"/>
      <c r="BR115" s="40"/>
      <c r="BS115" s="41"/>
      <c r="BT115" s="36"/>
      <c r="BU115" s="36"/>
      <c r="BV115" s="36"/>
      <c r="BW115" s="36"/>
      <c r="BX115" s="36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7"/>
      <c r="CL115" s="36"/>
      <c r="CM115" s="36"/>
      <c r="CN115" s="36"/>
      <c r="CO115" s="36"/>
      <c r="CP115" s="36"/>
      <c r="CQ115" s="38"/>
      <c r="CR115" s="38"/>
      <c r="CS115" s="38"/>
      <c r="CT115" s="38"/>
      <c r="CU115" s="38"/>
      <c r="CV115" s="38"/>
      <c r="CW115" s="38"/>
      <c r="CY115" s="13" t="s">
        <v>24</v>
      </c>
    </row>
    <row r="116" spans="27:107" ht="20.100000000000001" customHeight="1">
      <c r="AA116" s="35"/>
      <c r="AB116" s="36"/>
      <c r="AC116" s="36"/>
      <c r="AD116" s="36"/>
      <c r="AE116" s="36"/>
      <c r="AF116" s="36"/>
      <c r="AG116" s="36"/>
      <c r="AH116" s="42"/>
      <c r="AI116" s="43"/>
      <c r="AJ116" s="43"/>
      <c r="AK116" s="43"/>
      <c r="AL116" s="43"/>
      <c r="AM116" s="43"/>
      <c r="AN116" s="43"/>
      <c r="AO116" s="43"/>
      <c r="AP116" s="43"/>
      <c r="AQ116" s="43"/>
      <c r="AR116" s="44"/>
      <c r="AS116" s="36"/>
      <c r="AT116" s="36"/>
      <c r="AU116" s="36"/>
      <c r="AV116" s="36"/>
      <c r="AW116" s="36"/>
      <c r="AX116" s="36"/>
      <c r="AY116" s="36"/>
      <c r="AZ116" s="36"/>
      <c r="BA116" s="36"/>
      <c r="BB116" s="37"/>
      <c r="BC116" s="36"/>
      <c r="BD116" s="36"/>
      <c r="BE116" s="36"/>
      <c r="BF116" s="36"/>
      <c r="BG116" s="36"/>
      <c r="BH116" s="36"/>
      <c r="BI116" s="42"/>
      <c r="BJ116" s="43"/>
      <c r="BK116" s="43"/>
      <c r="BL116" s="43"/>
      <c r="BM116" s="43"/>
      <c r="BN116" s="43"/>
      <c r="BO116" s="43"/>
      <c r="BP116" s="43"/>
      <c r="BQ116" s="43"/>
      <c r="BR116" s="43"/>
      <c r="BS116" s="44"/>
      <c r="BT116" s="36"/>
      <c r="BU116" s="36"/>
      <c r="BV116" s="36"/>
      <c r="BW116" s="36"/>
      <c r="BX116" s="36"/>
      <c r="BY116" s="35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7"/>
      <c r="CL116" s="36"/>
      <c r="CM116" s="36"/>
      <c r="CN116" s="36"/>
      <c r="CO116" s="36"/>
      <c r="CP116" s="36"/>
      <c r="CQ116" s="38"/>
      <c r="CR116" s="38"/>
      <c r="CS116" s="38"/>
      <c r="CT116" s="38"/>
      <c r="CU116" s="38"/>
      <c r="CV116" s="38"/>
      <c r="CW116" s="38"/>
      <c r="CY116" s="14" t="s">
        <v>25</v>
      </c>
    </row>
    <row r="117" spans="27:107" ht="20.100000000000001" customHeight="1">
      <c r="AA117" s="35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7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5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7"/>
      <c r="CL117" s="36"/>
      <c r="CM117" s="36"/>
      <c r="CN117" s="36"/>
      <c r="CO117" s="36"/>
      <c r="CP117" s="36"/>
      <c r="CQ117" s="38"/>
      <c r="CR117" s="38"/>
      <c r="CS117" s="38"/>
      <c r="CT117" s="38"/>
      <c r="CU117" s="38"/>
      <c r="CV117" s="38"/>
      <c r="CW117" s="38"/>
    </row>
    <row r="118" spans="27:107" ht="20.100000000000001" customHeight="1">
      <c r="AA118" s="35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7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5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7"/>
      <c r="CL118" s="36"/>
      <c r="CM118" s="36"/>
      <c r="CN118" s="36"/>
      <c r="CO118" s="36"/>
      <c r="CP118" s="36"/>
      <c r="CQ118" s="38"/>
      <c r="CR118" s="38"/>
      <c r="CS118" s="38"/>
      <c r="CT118" s="38"/>
      <c r="CU118" s="38"/>
      <c r="CV118" s="38"/>
      <c r="CW118" s="38"/>
    </row>
    <row r="119" spans="27:107" ht="20.100000000000001" customHeight="1" thickBot="1">
      <c r="AA119" s="35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7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48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50"/>
      <c r="CL119" s="36"/>
      <c r="CM119" s="36"/>
      <c r="CN119" s="36"/>
      <c r="CO119" s="36"/>
      <c r="CP119" s="36"/>
      <c r="CQ119" s="38"/>
      <c r="CR119" s="38"/>
      <c r="CS119" s="38"/>
      <c r="CT119" s="38"/>
      <c r="CU119" s="38"/>
      <c r="CV119" s="38"/>
      <c r="CW119" s="38"/>
    </row>
    <row r="120" spans="27:107" ht="20.100000000000001" customHeight="1">
      <c r="AA120" s="32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4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4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6"/>
      <c r="CM120" s="36"/>
      <c r="CN120" s="36"/>
      <c r="CO120" s="36"/>
      <c r="CP120" s="36"/>
      <c r="CY120" s="11" t="s">
        <v>48</v>
      </c>
    </row>
    <row r="121" spans="27:107" ht="20.100000000000001" customHeight="1" thickBot="1">
      <c r="AA121" s="35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7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7"/>
      <c r="BY121" s="38"/>
      <c r="BZ121" s="38"/>
      <c r="CA121" s="70" t="s">
        <v>37</v>
      </c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6"/>
      <c r="CM121" s="36"/>
      <c r="CN121" s="36"/>
      <c r="CO121" s="36"/>
      <c r="CP121" s="36"/>
      <c r="CY121" s="12" t="s">
        <v>23</v>
      </c>
    </row>
    <row r="122" spans="27:107" ht="20.100000000000001" customHeight="1" thickTop="1" thickBot="1">
      <c r="AA122" s="35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7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7"/>
      <c r="BY122" s="38"/>
      <c r="BZ122" s="38"/>
      <c r="CA122" s="71" t="s">
        <v>38</v>
      </c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6"/>
      <c r="CM122" s="36"/>
      <c r="CN122" s="36"/>
      <c r="CO122" s="36"/>
      <c r="CP122" s="36"/>
      <c r="CY122" s="149">
        <f>DC122</f>
        <v>0</v>
      </c>
      <c r="CZ122" s="150"/>
      <c r="DA122" s="150"/>
      <c r="DB122" s="151"/>
      <c r="DC122" s="29">
        <f t="array" ref="DC122:DC123">TRANSPOSE(TotalUnitsAndWeightsSum(DECK2))</f>
        <v>0</v>
      </c>
    </row>
    <row r="123" spans="27:107" ht="20.100000000000001" customHeight="1" thickTop="1" thickBot="1">
      <c r="AA123" s="35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7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7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6"/>
      <c r="CM123" s="36"/>
      <c r="CN123" s="36"/>
      <c r="CO123" s="36"/>
      <c r="CP123" s="36"/>
      <c r="CY123" s="146">
        <f>DC123</f>
        <v>0</v>
      </c>
      <c r="CZ123" s="147"/>
      <c r="DA123" s="147"/>
      <c r="DB123" s="148"/>
      <c r="DC123" s="29">
        <v>0</v>
      </c>
    </row>
    <row r="124" spans="27:107" ht="20.100000000000001" customHeight="1" thickTop="1">
      <c r="AA124" s="35"/>
      <c r="AB124" s="36"/>
      <c r="AC124" s="36"/>
      <c r="AD124" s="36"/>
      <c r="AE124" s="36"/>
      <c r="AF124" s="36"/>
      <c r="AG124" s="36"/>
      <c r="AH124" s="39"/>
      <c r="AI124" s="40"/>
      <c r="AJ124" s="40"/>
      <c r="AK124" s="40"/>
      <c r="AL124" s="40"/>
      <c r="AM124" s="40"/>
      <c r="AN124" s="40"/>
      <c r="AO124" s="40"/>
      <c r="AP124" s="40"/>
      <c r="AQ124" s="40"/>
      <c r="AR124" s="41"/>
      <c r="AS124" s="36"/>
      <c r="AT124" s="36"/>
      <c r="AU124" s="36"/>
      <c r="AV124" s="36"/>
      <c r="AW124" s="36"/>
      <c r="AX124" s="36"/>
      <c r="AY124" s="36"/>
      <c r="AZ124" s="36"/>
      <c r="BA124" s="36"/>
      <c r="BB124" s="37"/>
      <c r="BC124" s="36"/>
      <c r="BD124" s="36"/>
      <c r="BE124" s="36"/>
      <c r="BF124" s="36"/>
      <c r="BG124" s="36"/>
      <c r="BH124" s="36"/>
      <c r="BI124" s="39"/>
      <c r="BJ124" s="40"/>
      <c r="BK124" s="40"/>
      <c r="BL124" s="40"/>
      <c r="BM124" s="40"/>
      <c r="BN124" s="40"/>
      <c r="BO124" s="40"/>
      <c r="BP124" s="40"/>
      <c r="BQ124" s="40"/>
      <c r="BR124" s="40"/>
      <c r="BS124" s="41"/>
      <c r="BT124" s="36"/>
      <c r="BU124" s="36"/>
      <c r="BV124" s="36"/>
      <c r="BW124" s="36"/>
      <c r="BX124" s="37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6"/>
      <c r="CM124" s="36"/>
      <c r="CN124" s="36"/>
      <c r="CO124" s="36"/>
      <c r="CP124" s="36"/>
      <c r="CY124" s="13" t="s">
        <v>24</v>
      </c>
    </row>
    <row r="125" spans="27:107" ht="20.100000000000001" customHeight="1">
      <c r="AA125" s="35"/>
      <c r="AB125" s="36"/>
      <c r="AC125" s="36"/>
      <c r="AD125" s="36"/>
      <c r="AE125" s="36"/>
      <c r="AF125" s="36"/>
      <c r="AG125" s="36"/>
      <c r="AH125" s="42"/>
      <c r="AI125" s="43"/>
      <c r="AJ125" s="43"/>
      <c r="AK125" s="43"/>
      <c r="AL125" s="43"/>
      <c r="AM125" s="43"/>
      <c r="AN125" s="43"/>
      <c r="AO125" s="43"/>
      <c r="AP125" s="43"/>
      <c r="AQ125" s="43"/>
      <c r="AR125" s="44"/>
      <c r="AS125" s="36"/>
      <c r="AT125" s="36"/>
      <c r="AU125" s="36"/>
      <c r="AV125" s="36"/>
      <c r="AW125" s="36"/>
      <c r="AX125" s="36"/>
      <c r="AY125" s="36"/>
      <c r="AZ125" s="36"/>
      <c r="BA125" s="36"/>
      <c r="BB125" s="37"/>
      <c r="BC125" s="36"/>
      <c r="BD125" s="36"/>
      <c r="BE125" s="36"/>
      <c r="BF125" s="36"/>
      <c r="BG125" s="36"/>
      <c r="BH125" s="36"/>
      <c r="BI125" s="42"/>
      <c r="BJ125" s="43"/>
      <c r="BK125" s="43"/>
      <c r="BL125" s="43"/>
      <c r="BM125" s="43"/>
      <c r="BN125" s="43"/>
      <c r="BO125" s="43"/>
      <c r="BP125" s="43"/>
      <c r="BQ125" s="43"/>
      <c r="BR125" s="43"/>
      <c r="BS125" s="44"/>
      <c r="BT125" s="36"/>
      <c r="BU125" s="36"/>
      <c r="BV125" s="36"/>
      <c r="BW125" s="36"/>
      <c r="BX125" s="37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Y125" s="14" t="s">
        <v>25</v>
      </c>
    </row>
    <row r="126" spans="27:107" ht="20.100000000000001" customHeight="1">
      <c r="AA126" s="35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7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7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</row>
    <row r="127" spans="27:107" ht="20.100000000000001" customHeight="1">
      <c r="AA127" s="35"/>
      <c r="AB127" s="36"/>
      <c r="AC127" s="36"/>
      <c r="AD127" s="36"/>
      <c r="AE127" s="36"/>
      <c r="AF127" s="36"/>
      <c r="AG127" s="36"/>
      <c r="AH127" s="36" t="s">
        <v>53</v>
      </c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7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7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</row>
    <row r="128" spans="27:107" ht="20.100000000000001" customHeight="1" thickBot="1">
      <c r="AA128" s="35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7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7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</row>
    <row r="129" spans="5:107" ht="20.100000000000001" customHeight="1">
      <c r="AA129" s="32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4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4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Y129" s="11" t="s">
        <v>52</v>
      </c>
    </row>
    <row r="130" spans="5:107" ht="20.100000000000001" customHeight="1" thickBot="1">
      <c r="AA130" s="35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7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7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Y130" s="12" t="s">
        <v>4</v>
      </c>
    </row>
    <row r="131" spans="5:107" ht="20.100000000000001" customHeight="1" thickTop="1" thickBot="1">
      <c r="AA131" s="35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7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7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Y131" s="149">
        <f>DC131</f>
        <v>0</v>
      </c>
      <c r="CZ131" s="150"/>
      <c r="DA131" s="150"/>
      <c r="DB131" s="151"/>
      <c r="DC131" s="29">
        <f t="array" ref="DC131:DC132">TRANSPOSE(TotalUnitsAndWeightsSum(DECK1))</f>
        <v>0</v>
      </c>
    </row>
    <row r="132" spans="5:107" ht="20.100000000000001" customHeight="1" thickTop="1" thickBot="1">
      <c r="AA132" s="35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7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7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Y132" s="146">
        <f>DC132</f>
        <v>0</v>
      </c>
      <c r="CZ132" s="147"/>
      <c r="DA132" s="147"/>
      <c r="DB132" s="148"/>
      <c r="DC132" s="29">
        <v>0</v>
      </c>
    </row>
    <row r="133" spans="5:107" ht="20.100000000000001" customHeight="1" thickTop="1">
      <c r="AA133" s="35"/>
      <c r="AB133" s="36"/>
      <c r="AC133" s="36"/>
      <c r="AD133" s="36"/>
      <c r="AE133" s="36"/>
      <c r="AF133" s="36"/>
      <c r="AG133" s="36"/>
      <c r="AH133" s="39"/>
      <c r="AI133" s="40"/>
      <c r="AJ133" s="40"/>
      <c r="AK133" s="40"/>
      <c r="AL133" s="40"/>
      <c r="AM133" s="40"/>
      <c r="AN133" s="40"/>
      <c r="AO133" s="40"/>
      <c r="AP133" s="40"/>
      <c r="AQ133" s="40"/>
      <c r="AR133" s="41"/>
      <c r="AS133" s="36"/>
      <c r="AT133" s="36"/>
      <c r="AU133" s="36"/>
      <c r="AV133" s="36"/>
      <c r="AW133" s="36"/>
      <c r="AX133" s="36"/>
      <c r="AY133" s="36"/>
      <c r="AZ133" s="36"/>
      <c r="BA133" s="36"/>
      <c r="BB133" s="37"/>
      <c r="BC133" s="36"/>
      <c r="BD133" s="36"/>
      <c r="BE133" s="36"/>
      <c r="BF133" s="36"/>
      <c r="BG133" s="36"/>
      <c r="BH133" s="36"/>
      <c r="BI133" s="39"/>
      <c r="BJ133" s="40"/>
      <c r="BK133" s="40"/>
      <c r="BL133" s="40"/>
      <c r="BM133" s="40"/>
      <c r="BN133" s="40"/>
      <c r="BO133" s="40"/>
      <c r="BP133" s="40"/>
      <c r="BQ133" s="40"/>
      <c r="BR133" s="40"/>
      <c r="BS133" s="41"/>
      <c r="BT133" s="36"/>
      <c r="BU133" s="36"/>
      <c r="BV133" s="36"/>
      <c r="BW133" s="36"/>
      <c r="BX133" s="37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Y133" s="13" t="s">
        <v>21</v>
      </c>
    </row>
    <row r="134" spans="5:107" ht="20.100000000000001" customHeight="1">
      <c r="AA134" s="35"/>
      <c r="AB134" s="36"/>
      <c r="AC134" s="36"/>
      <c r="AD134" s="36"/>
      <c r="AE134" s="36"/>
      <c r="AF134" s="36"/>
      <c r="AG134" s="36"/>
      <c r="AH134" s="42"/>
      <c r="AI134" s="43"/>
      <c r="AJ134" s="43"/>
      <c r="AK134" s="43"/>
      <c r="AL134" s="43"/>
      <c r="AM134" s="43"/>
      <c r="AN134" s="43"/>
      <c r="AO134" s="43"/>
      <c r="AP134" s="43"/>
      <c r="AQ134" s="43"/>
      <c r="AR134" s="44"/>
      <c r="AS134" s="36"/>
      <c r="AT134" s="36"/>
      <c r="AU134" s="36"/>
      <c r="AV134" s="36"/>
      <c r="AW134" s="36"/>
      <c r="AX134" s="36"/>
      <c r="AY134" s="36"/>
      <c r="AZ134" s="36"/>
      <c r="BA134" s="36"/>
      <c r="BB134" s="37"/>
      <c r="BC134" s="36"/>
      <c r="BD134" s="36"/>
      <c r="BE134" s="36"/>
      <c r="BF134" s="36"/>
      <c r="BG134" s="36"/>
      <c r="BH134" s="36"/>
      <c r="BI134" s="42"/>
      <c r="BJ134" s="43"/>
      <c r="BK134" s="43"/>
      <c r="BL134" s="43"/>
      <c r="BM134" s="43"/>
      <c r="BN134" s="43"/>
      <c r="BO134" s="43"/>
      <c r="BP134" s="43"/>
      <c r="BQ134" s="43"/>
      <c r="BR134" s="43"/>
      <c r="BS134" s="44"/>
      <c r="BT134" s="36"/>
      <c r="BU134" s="36"/>
      <c r="BV134" s="36"/>
      <c r="BW134" s="36"/>
      <c r="BX134" s="37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Y134" s="14" t="s">
        <v>22</v>
      </c>
    </row>
    <row r="135" spans="5:107" ht="20.100000000000001" customHeight="1">
      <c r="AA135" s="35"/>
      <c r="AB135" s="36"/>
      <c r="AC135" s="36"/>
      <c r="AD135" s="36"/>
      <c r="AE135" s="36"/>
      <c r="AF135" s="36"/>
      <c r="AG135" s="36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6"/>
      <c r="AT135" s="36"/>
      <c r="AU135" s="36"/>
      <c r="AV135" s="36"/>
      <c r="AW135" s="36"/>
      <c r="AX135" s="36"/>
      <c r="AY135" s="36"/>
      <c r="AZ135" s="36"/>
      <c r="BA135" s="36"/>
      <c r="BB135" s="37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7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</row>
    <row r="136" spans="5:107" ht="20.100000000000001" customHeight="1" thickBot="1">
      <c r="AA136" s="35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7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7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</row>
    <row r="137" spans="5:107" ht="20.100000000000001" customHeight="1" thickTop="1" thickBot="1">
      <c r="AA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50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50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T137" s="484" t="s">
        <v>56</v>
      </c>
      <c r="CU137" s="485"/>
      <c r="CV137" s="485"/>
      <c r="CW137" s="485"/>
      <c r="CX137" s="485"/>
      <c r="CY137" s="485"/>
      <c r="CZ137" s="485"/>
      <c r="DA137" s="485"/>
      <c r="DB137" s="486"/>
    </row>
    <row r="138" spans="5:107" ht="20.100000000000001" customHeight="1" thickTop="1" thickBot="1">
      <c r="CR138" s="2"/>
      <c r="CT138" s="475">
        <f>SUM(K140,AM140,BL140,CG140)</f>
        <v>0</v>
      </c>
      <c r="CU138" s="476"/>
      <c r="CV138" s="476"/>
      <c r="CW138" s="476"/>
      <c r="CX138" s="476"/>
      <c r="CY138" s="476"/>
      <c r="CZ138" s="476"/>
      <c r="DA138" s="476"/>
      <c r="DB138" s="477"/>
    </row>
    <row r="139" spans="5:107" ht="20.100000000000001" customHeight="1" thickTop="1" thickBot="1">
      <c r="K139" s="461" t="s">
        <v>36</v>
      </c>
      <c r="L139" s="462"/>
      <c r="M139" s="462"/>
      <c r="N139" s="462"/>
      <c r="O139" s="463"/>
      <c r="AM139" s="461" t="s">
        <v>54</v>
      </c>
      <c r="AN139" s="462"/>
      <c r="AO139" s="462"/>
      <c r="AP139" s="462"/>
      <c r="AQ139" s="463"/>
      <c r="BL139" s="461" t="s">
        <v>39</v>
      </c>
      <c r="BM139" s="462"/>
      <c r="BN139" s="462"/>
      <c r="BO139" s="462"/>
      <c r="BP139" s="463"/>
      <c r="CG139" s="461" t="s">
        <v>55</v>
      </c>
      <c r="CH139" s="462"/>
      <c r="CI139" s="462"/>
      <c r="CJ139" s="462"/>
      <c r="CK139" s="463"/>
      <c r="CR139" s="5"/>
      <c r="CT139" s="478">
        <f>SUM(K141,AM141,BL141,CG141)</f>
        <v>0</v>
      </c>
      <c r="CU139" s="479"/>
      <c r="CV139" s="479"/>
      <c r="CW139" s="479"/>
      <c r="CX139" s="479"/>
      <c r="CY139" s="479"/>
      <c r="CZ139" s="479"/>
      <c r="DA139" s="479"/>
      <c r="DB139" s="480"/>
    </row>
    <row r="140" spans="5:107" ht="20.100000000000001" customHeight="1" thickTop="1" thickBot="1">
      <c r="K140" s="464">
        <f>P140</f>
        <v>0</v>
      </c>
      <c r="L140" s="465"/>
      <c r="M140" s="465"/>
      <c r="N140" s="465"/>
      <c r="O140" s="466"/>
      <c r="P140" s="29">
        <f t="array" ref="P140:P141">TRANSPOSE(TotalUnitsAndWeightsSum(HOLD4))</f>
        <v>0</v>
      </c>
      <c r="AM140" s="464">
        <f>AR140</f>
        <v>0</v>
      </c>
      <c r="AN140" s="465"/>
      <c r="AO140" s="465"/>
      <c r="AP140" s="465"/>
      <c r="AQ140" s="466"/>
      <c r="AR140" s="29">
        <f t="array" ref="AR140:AR141">TRANSPOSE(TotalUnitsAndWeightsSum(HOLD3))</f>
        <v>0</v>
      </c>
      <c r="BL140" s="464">
        <f>BQ140</f>
        <v>0</v>
      </c>
      <c r="BM140" s="465"/>
      <c r="BN140" s="465"/>
      <c r="BO140" s="465"/>
      <c r="BP140" s="466"/>
      <c r="BQ140" s="29">
        <f t="array" ref="BQ140:BQ141">TRANSPOSE(TotalUnitsAndWeightsSum(HOLD2))</f>
        <v>0</v>
      </c>
      <c r="CG140" s="464">
        <f>CL140</f>
        <v>0</v>
      </c>
      <c r="CH140" s="465"/>
      <c r="CI140" s="465"/>
      <c r="CJ140" s="465"/>
      <c r="CK140" s="466"/>
      <c r="CL140" s="29">
        <f t="array" ref="CL140:CL141">TRANSPOSE(TotalUnitsAndWeightsSum(HOLD1))</f>
        <v>0</v>
      </c>
      <c r="CR140" s="6"/>
      <c r="CT140" s="481">
        <f>CS24</f>
        <v>0</v>
      </c>
      <c r="CU140" s="482"/>
      <c r="CV140" s="482"/>
      <c r="CW140" s="482"/>
      <c r="CX140" s="482"/>
      <c r="CY140" s="482"/>
      <c r="CZ140" s="482"/>
      <c r="DA140" s="482"/>
      <c r="DB140" s="483"/>
    </row>
    <row r="141" spans="5:107" ht="20.100000000000001" customHeight="1" thickTop="1" thickBot="1">
      <c r="E141" s="30"/>
      <c r="F141" s="30"/>
      <c r="G141" s="31"/>
      <c r="H141" s="30"/>
      <c r="K141" s="470">
        <f>P141</f>
        <v>0</v>
      </c>
      <c r="L141" s="471"/>
      <c r="M141" s="471"/>
      <c r="N141" s="471"/>
      <c r="O141" s="472"/>
      <c r="P141" s="29">
        <v>0</v>
      </c>
      <c r="V141" s="30"/>
      <c r="W141" s="30"/>
      <c r="X141" s="30"/>
      <c r="Y141" s="30"/>
      <c r="AM141" s="470">
        <f>AR141</f>
        <v>0</v>
      </c>
      <c r="AN141" s="471"/>
      <c r="AO141" s="471"/>
      <c r="AP141" s="471"/>
      <c r="AQ141" s="472"/>
      <c r="AR141" s="29">
        <v>0</v>
      </c>
      <c r="BL141" s="470">
        <f>BQ141</f>
        <v>0</v>
      </c>
      <c r="BM141" s="471"/>
      <c r="BN141" s="471"/>
      <c r="BO141" s="471"/>
      <c r="BP141" s="472"/>
      <c r="BQ141" s="29">
        <v>0</v>
      </c>
      <c r="CG141" s="470">
        <f>CL141</f>
        <v>0</v>
      </c>
      <c r="CH141" s="471"/>
      <c r="CI141" s="471"/>
      <c r="CJ141" s="471"/>
      <c r="CK141" s="472"/>
      <c r="CL141" s="29">
        <v>0</v>
      </c>
      <c r="CR141" s="6"/>
      <c r="CT141" s="478">
        <f>CX24</f>
        <v>0</v>
      </c>
      <c r="CU141" s="479"/>
      <c r="CV141" s="479"/>
      <c r="CW141" s="479"/>
      <c r="CX141" s="479"/>
      <c r="CY141" s="479"/>
      <c r="CZ141" s="479"/>
      <c r="DA141" s="479"/>
      <c r="DB141" s="480"/>
    </row>
    <row r="142" spans="5:107" ht="20.100000000000001" customHeight="1" thickTop="1"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5:107" ht="20.100000000000001" customHeight="1"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5:107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</sheetData>
  <mergeCells count="504">
    <mergeCell ref="CX24:DB24"/>
    <mergeCell ref="CI23:DB23"/>
    <mergeCell ref="CI6:CR6"/>
    <mergeCell ref="CS6:DB6"/>
    <mergeCell ref="CS18:CW18"/>
    <mergeCell ref="CX18:DB18"/>
    <mergeCell ref="AH106:AR107"/>
    <mergeCell ref="BU3:CB3"/>
    <mergeCell ref="BU2:BY2"/>
    <mergeCell ref="AU14:AY14"/>
    <mergeCell ref="AU20:AY20"/>
    <mergeCell ref="AU15:AY15"/>
    <mergeCell ref="AU9:AY9"/>
    <mergeCell ref="AU19:AY19"/>
    <mergeCell ref="AU12:AY12"/>
    <mergeCell ref="AU17:AY17"/>
    <mergeCell ref="AU11:AY11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0:AY10"/>
    <mergeCell ref="AU18:AY18"/>
    <mergeCell ref="AU16:AY16"/>
    <mergeCell ref="AU13:AY13"/>
    <mergeCell ref="Y100:Z101"/>
    <mergeCell ref="CX22:DB22"/>
    <mergeCell ref="CI22:CM22"/>
    <mergeCell ref="CN22:CR22"/>
    <mergeCell ref="CS17:CW17"/>
    <mergeCell ref="CX17:DB17"/>
    <mergeCell ref="CI8:CM8"/>
    <mergeCell ref="CN8:CR8"/>
    <mergeCell ref="CS8:CW8"/>
    <mergeCell ref="CX12:DB12"/>
    <mergeCell ref="CI12:CM12"/>
    <mergeCell ref="CN12:CR12"/>
    <mergeCell ref="CS11:CW11"/>
    <mergeCell ref="CX16:DB16"/>
    <mergeCell ref="CS13:CW13"/>
    <mergeCell ref="CX13:DB13"/>
    <mergeCell ref="CS14:CW14"/>
    <mergeCell ref="CX14:DB14"/>
    <mergeCell ref="CI19:CM19"/>
    <mergeCell ref="CN19:CR19"/>
    <mergeCell ref="CI16:CM16"/>
    <mergeCell ref="CN16:CR16"/>
    <mergeCell ref="CS20:CW20"/>
    <mergeCell ref="CX21:DB21"/>
    <mergeCell ref="CI20:CM20"/>
    <mergeCell ref="CN20:CR20"/>
    <mergeCell ref="CS15:CW15"/>
    <mergeCell ref="CX15:DB15"/>
    <mergeCell ref="CS9:CW9"/>
    <mergeCell ref="CX9:DB9"/>
    <mergeCell ref="CI13:CM13"/>
    <mergeCell ref="CN13:CR13"/>
    <mergeCell ref="CI14:CM14"/>
    <mergeCell ref="CN14:CR14"/>
    <mergeCell ref="CI10:CM10"/>
    <mergeCell ref="CN10:CR10"/>
    <mergeCell ref="CI18:CM18"/>
    <mergeCell ref="CN18:CR18"/>
    <mergeCell ref="CX19:DB19"/>
    <mergeCell ref="CN11:CR11"/>
    <mergeCell ref="CI15:CM15"/>
    <mergeCell ref="CN15:CR15"/>
    <mergeCell ref="CS19:CW19"/>
    <mergeCell ref="CD20:CH20"/>
    <mergeCell ref="CD16:CH16"/>
    <mergeCell ref="CD15:CH15"/>
    <mergeCell ref="CX20:DB20"/>
    <mergeCell ref="CX11:DB11"/>
    <mergeCell ref="CS10:CW10"/>
    <mergeCell ref="CX10:DB10"/>
    <mergeCell ref="CD3:CF3"/>
    <mergeCell ref="CI9:CM9"/>
    <mergeCell ref="CN9:CR9"/>
    <mergeCell ref="CS16:CW16"/>
    <mergeCell ref="CD19:CH19"/>
    <mergeCell ref="CD12:CH12"/>
    <mergeCell ref="CD17:CH17"/>
    <mergeCell ref="CD11:CH11"/>
    <mergeCell ref="CD10:CH10"/>
    <mergeCell ref="CD18:CH18"/>
    <mergeCell ref="CD9:CH9"/>
    <mergeCell ref="CD13:CH13"/>
    <mergeCell ref="CD14:CH14"/>
    <mergeCell ref="CS12:CW12"/>
    <mergeCell ref="CI17:CM17"/>
    <mergeCell ref="CN17:CR17"/>
    <mergeCell ref="CI11:CM11"/>
    <mergeCell ref="BY20:CC20"/>
    <mergeCell ref="BJ18:BN18"/>
    <mergeCell ref="BJ16:BN16"/>
    <mergeCell ref="BJ13:BN13"/>
    <mergeCell ref="BT13:BX13"/>
    <mergeCell ref="BT14:BX14"/>
    <mergeCell ref="BT20:BX20"/>
    <mergeCell ref="BT16:BX16"/>
    <mergeCell ref="BO16:BS16"/>
    <mergeCell ref="BO13:BS13"/>
    <mergeCell ref="BO14:BS14"/>
    <mergeCell ref="BO20:BS20"/>
    <mergeCell ref="BY9:CC9"/>
    <mergeCell ref="BT19:BX19"/>
    <mergeCell ref="BT12:BX12"/>
    <mergeCell ref="BT17:BX17"/>
    <mergeCell ref="BT11:BX11"/>
    <mergeCell ref="BT10:BX10"/>
    <mergeCell ref="BT18:BX18"/>
    <mergeCell ref="BY10:CC10"/>
    <mergeCell ref="BY18:CC18"/>
    <mergeCell ref="BY19:CC19"/>
    <mergeCell ref="BY15:CC15"/>
    <mergeCell ref="BY12:CC12"/>
    <mergeCell ref="BY17:CC17"/>
    <mergeCell ref="BY11:CC11"/>
    <mergeCell ref="BY16:CC16"/>
    <mergeCell ref="BY13:CC13"/>
    <mergeCell ref="BY14:CC14"/>
    <mergeCell ref="BO10:BS10"/>
    <mergeCell ref="BO18:BS18"/>
    <mergeCell ref="BO15:BS15"/>
    <mergeCell ref="BT15:BX15"/>
    <mergeCell ref="BO9:BS9"/>
    <mergeCell ref="BO19:BS19"/>
    <mergeCell ref="BO12:BS12"/>
    <mergeCell ref="BO17:BS17"/>
    <mergeCell ref="BO11:BS11"/>
    <mergeCell ref="BT9:BX9"/>
    <mergeCell ref="BJ14:BN14"/>
    <mergeCell ref="BJ20:BN20"/>
    <mergeCell ref="BJ21:BN21"/>
    <mergeCell ref="BJ22:BN22"/>
    <mergeCell ref="BE16:BI16"/>
    <mergeCell ref="BE9:BI9"/>
    <mergeCell ref="BE19:BI19"/>
    <mergeCell ref="BE12:BI12"/>
    <mergeCell ref="BJ9:BN9"/>
    <mergeCell ref="BJ19:BN19"/>
    <mergeCell ref="BJ12:BN12"/>
    <mergeCell ref="BE15:BI15"/>
    <mergeCell ref="BJ15:BN15"/>
    <mergeCell ref="BE17:BI17"/>
    <mergeCell ref="BE11:BI11"/>
    <mergeCell ref="BE10:BI10"/>
    <mergeCell ref="BE18:BI18"/>
    <mergeCell ref="BJ17:BN17"/>
    <mergeCell ref="BJ11:BN11"/>
    <mergeCell ref="BJ10:BN10"/>
    <mergeCell ref="BE21:BI21"/>
    <mergeCell ref="AZ20:BD20"/>
    <mergeCell ref="AZ15:BD15"/>
    <mergeCell ref="AZ9:BD9"/>
    <mergeCell ref="AZ19:BD19"/>
    <mergeCell ref="AZ12:BD12"/>
    <mergeCell ref="AZ17:BD17"/>
    <mergeCell ref="AZ11:BD11"/>
    <mergeCell ref="BE13:BI13"/>
    <mergeCell ref="BE14:BI14"/>
    <mergeCell ref="BE20:BI20"/>
    <mergeCell ref="AZ10:BD10"/>
    <mergeCell ref="AZ18:BD18"/>
    <mergeCell ref="AZ16:BD16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B7:M7"/>
    <mergeCell ref="N7:P7"/>
    <mergeCell ref="B5:P6"/>
    <mergeCell ref="B15:M15"/>
    <mergeCell ref="B9:M9"/>
    <mergeCell ref="B19:M19"/>
    <mergeCell ref="AU5:BD6"/>
    <mergeCell ref="AU7:AY7"/>
    <mergeCell ref="AZ7:BD7"/>
    <mergeCell ref="AZ13:BD13"/>
    <mergeCell ref="AZ14:BD14"/>
    <mergeCell ref="N9:P9"/>
    <mergeCell ref="N19:P19"/>
    <mergeCell ref="N12:P12"/>
    <mergeCell ref="N17:P17"/>
    <mergeCell ref="N11:P11"/>
    <mergeCell ref="N10:P10"/>
    <mergeCell ref="N18:P18"/>
    <mergeCell ref="N16:P16"/>
    <mergeCell ref="N15:P15"/>
    <mergeCell ref="Q13:S13"/>
    <mergeCell ref="Q14:S14"/>
    <mergeCell ref="AO19:AQ19"/>
    <mergeCell ref="AR19:AT19"/>
    <mergeCell ref="CY29:DB29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Y29:CB29"/>
    <mergeCell ref="BY30:CB30"/>
    <mergeCell ref="BY32:CB32"/>
    <mergeCell ref="BY33:CB33"/>
    <mergeCell ref="CH29:CK29"/>
    <mergeCell ref="BH75:BX76"/>
    <mergeCell ref="BY75:CA76"/>
    <mergeCell ref="CY57:DB57"/>
    <mergeCell ref="CY67:DB67"/>
    <mergeCell ref="AL2:BM3"/>
    <mergeCell ref="BE7:BI7"/>
    <mergeCell ref="BJ7:BN7"/>
    <mergeCell ref="Q17:S17"/>
    <mergeCell ref="Q11:S11"/>
    <mergeCell ref="Q10:S10"/>
    <mergeCell ref="Q18:S18"/>
    <mergeCell ref="B21:M21"/>
    <mergeCell ref="B22:M22"/>
    <mergeCell ref="N13:P13"/>
    <mergeCell ref="N14:P14"/>
    <mergeCell ref="N20:P20"/>
    <mergeCell ref="N21:P21"/>
    <mergeCell ref="N22:P22"/>
    <mergeCell ref="B12:M12"/>
    <mergeCell ref="B17:M17"/>
    <mergeCell ref="B11:M11"/>
    <mergeCell ref="B10:M10"/>
    <mergeCell ref="B18:M18"/>
    <mergeCell ref="B16:M16"/>
    <mergeCell ref="B13:M13"/>
    <mergeCell ref="B14:M14"/>
    <mergeCell ref="B20:M20"/>
    <mergeCell ref="Q16:S16"/>
    <mergeCell ref="Q20:S20"/>
    <mergeCell ref="Q21:S21"/>
    <mergeCell ref="Q22:S22"/>
    <mergeCell ref="T9:V9"/>
    <mergeCell ref="W9:Y9"/>
    <mergeCell ref="T12:V12"/>
    <mergeCell ref="W12:Y12"/>
    <mergeCell ref="T11:V11"/>
    <mergeCell ref="W11:Y11"/>
    <mergeCell ref="T18:V18"/>
    <mergeCell ref="W18:Y18"/>
    <mergeCell ref="T13:V13"/>
    <mergeCell ref="W13:Y13"/>
    <mergeCell ref="T20:V20"/>
    <mergeCell ref="W20:Y20"/>
    <mergeCell ref="T22:V22"/>
    <mergeCell ref="W22:Y22"/>
    <mergeCell ref="Q15:S15"/>
    <mergeCell ref="T21:V21"/>
    <mergeCell ref="Q9:S9"/>
    <mergeCell ref="Q19:S19"/>
    <mergeCell ref="Q12:S12"/>
    <mergeCell ref="T17:V17"/>
    <mergeCell ref="T15:V15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W17:Y17"/>
    <mergeCell ref="AF17:AH17"/>
    <mergeCell ref="AI17:AK17"/>
    <mergeCell ref="AL17:AN17"/>
    <mergeCell ref="AO17:AQ17"/>
    <mergeCell ref="AR17:AT17"/>
    <mergeCell ref="Z17:AB17"/>
    <mergeCell ref="AC17:AE17"/>
    <mergeCell ref="T19:V19"/>
    <mergeCell ref="W19:Y19"/>
    <mergeCell ref="Z19:AB19"/>
    <mergeCell ref="AC19:AE19"/>
    <mergeCell ref="AF19:AH19"/>
    <mergeCell ref="AI19:AK19"/>
    <mergeCell ref="AL19:AN19"/>
    <mergeCell ref="AR11:AT11"/>
    <mergeCell ref="Z9:AB9"/>
    <mergeCell ref="AC9:AE9"/>
    <mergeCell ref="AF9:AH9"/>
    <mergeCell ref="AI9:AK9"/>
    <mergeCell ref="AL9:AN9"/>
    <mergeCell ref="AO9:AQ9"/>
    <mergeCell ref="AR9:AT9"/>
    <mergeCell ref="Z12:AB12"/>
    <mergeCell ref="AC12:AE12"/>
    <mergeCell ref="AF12:AH12"/>
    <mergeCell ref="AI12:AK12"/>
    <mergeCell ref="AL12:AN12"/>
    <mergeCell ref="AO12:AQ12"/>
    <mergeCell ref="AR12:AT12"/>
    <mergeCell ref="AR10:AT10"/>
    <mergeCell ref="T10:V10"/>
    <mergeCell ref="W10:Y10"/>
    <mergeCell ref="Z10:AB10"/>
    <mergeCell ref="AC10:AE10"/>
    <mergeCell ref="AF10:AH10"/>
    <mergeCell ref="AI10:AK10"/>
    <mergeCell ref="AL10:AN10"/>
    <mergeCell ref="AO10:AQ10"/>
    <mergeCell ref="Z11:AB11"/>
    <mergeCell ref="AC11:AE11"/>
    <mergeCell ref="AF11:AH11"/>
    <mergeCell ref="AI11:AK11"/>
    <mergeCell ref="AL11:AN11"/>
    <mergeCell ref="AO11:AQ11"/>
    <mergeCell ref="Z18:AB18"/>
    <mergeCell ref="AC18:AE18"/>
    <mergeCell ref="AF18:AH18"/>
    <mergeCell ref="AI18:AK18"/>
    <mergeCell ref="AL18:AN18"/>
    <mergeCell ref="AO18:AQ18"/>
    <mergeCell ref="AR18:AT18"/>
    <mergeCell ref="T16:V16"/>
    <mergeCell ref="W16:Y16"/>
    <mergeCell ref="Z16:AB16"/>
    <mergeCell ref="AC16:AE16"/>
    <mergeCell ref="AF16:AH16"/>
    <mergeCell ref="AI16:AK16"/>
    <mergeCell ref="AL16:AN16"/>
    <mergeCell ref="AO16:AQ16"/>
    <mergeCell ref="AR16:AT16"/>
    <mergeCell ref="AF14:AH14"/>
    <mergeCell ref="AI14:AK14"/>
    <mergeCell ref="AL14:AN14"/>
    <mergeCell ref="AO14:AQ14"/>
    <mergeCell ref="AR14:AT14"/>
    <mergeCell ref="Z13:AB13"/>
    <mergeCell ref="AC13:AE13"/>
    <mergeCell ref="AF13:AH13"/>
    <mergeCell ref="AI13:AK13"/>
    <mergeCell ref="AL13:AN13"/>
    <mergeCell ref="AO13:AQ13"/>
    <mergeCell ref="T23:V23"/>
    <mergeCell ref="W23:Y23"/>
    <mergeCell ref="Z23:AB23"/>
    <mergeCell ref="AC23:AE23"/>
    <mergeCell ref="AF23:AH23"/>
    <mergeCell ref="AI23:AK23"/>
    <mergeCell ref="AL23:AN23"/>
    <mergeCell ref="AO23:AQ23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AR13:AT13"/>
    <mergeCell ref="T14:V14"/>
    <mergeCell ref="W14:Y14"/>
    <mergeCell ref="Z14:AB14"/>
    <mergeCell ref="AC14:AE14"/>
    <mergeCell ref="CY47:DB47"/>
    <mergeCell ref="CY48:DB48"/>
    <mergeCell ref="CY56:DB56"/>
    <mergeCell ref="BI106:BS107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AI21:AK21"/>
    <mergeCell ref="AL21:AN21"/>
    <mergeCell ref="AO21:AQ21"/>
    <mergeCell ref="Z20:AB20"/>
    <mergeCell ref="AC20:AE20"/>
    <mergeCell ref="AF20:AH20"/>
    <mergeCell ref="AI20:AK20"/>
    <mergeCell ref="AL20:AN20"/>
    <mergeCell ref="AO20:AQ20"/>
    <mergeCell ref="AR23:AT23"/>
    <mergeCell ref="B26:Z26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J90:P91"/>
    <mergeCell ref="AO85:AV85"/>
    <mergeCell ref="AA90:AK90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B8:M8"/>
    <mergeCell ref="N8:P8"/>
    <mergeCell ref="Q8:S8"/>
    <mergeCell ref="T8:V8"/>
    <mergeCell ref="W8:Y8"/>
    <mergeCell ref="Z8:AB8"/>
    <mergeCell ref="AC8:AE8"/>
    <mergeCell ref="AF8:AH8"/>
    <mergeCell ref="AI8:AK8"/>
    <mergeCell ref="BY8:CC8"/>
    <mergeCell ref="CD8:CH8"/>
    <mergeCell ref="BT21:BX21"/>
    <mergeCell ref="BT22:BX22"/>
    <mergeCell ref="AC21:AE21"/>
    <mergeCell ref="CX8:DB8"/>
    <mergeCell ref="AL8:AN8"/>
    <mergeCell ref="AO8:AQ8"/>
    <mergeCell ref="AR8:AT8"/>
    <mergeCell ref="AU8:AY8"/>
    <mergeCell ref="AZ8:BD8"/>
    <mergeCell ref="BE8:BI8"/>
    <mergeCell ref="BJ8:BN8"/>
    <mergeCell ref="BO8:BS8"/>
    <mergeCell ref="BT8:BX8"/>
    <mergeCell ref="W21:Y21"/>
    <mergeCell ref="Z21:AB21"/>
    <mergeCell ref="CY38:DB38"/>
    <mergeCell ref="CY39:DB39"/>
    <mergeCell ref="B23:P23"/>
    <mergeCell ref="Q23:S23"/>
    <mergeCell ref="CH30:CK30"/>
    <mergeCell ref="BO21:BS21"/>
    <mergeCell ref="BO22:BS22"/>
    <mergeCell ref="BY23:CC23"/>
    <mergeCell ref="AF21:AH21"/>
    <mergeCell ref="BC26:BX26"/>
    <mergeCell ref="BY26:CW26"/>
    <mergeCell ref="CD23:CH23"/>
    <mergeCell ref="CD21:CH21"/>
    <mergeCell ref="CD22:CH22"/>
    <mergeCell ref="BY21:CC21"/>
    <mergeCell ref="BY22:CC22"/>
    <mergeCell ref="CS21:CW21"/>
    <mergeCell ref="CI24:CM24"/>
    <mergeCell ref="CN24:CR24"/>
    <mergeCell ref="CS24:CW24"/>
    <mergeCell ref="AA26:BB26"/>
    <mergeCell ref="BE22:BI22"/>
    <mergeCell ref="CI21:CM21"/>
    <mergeCell ref="CN21:CR21"/>
    <mergeCell ref="CS22:CW22"/>
    <mergeCell ref="J36:N36"/>
  </mergeCells>
  <pageMargins left="0.08" right="0.01" top="0.05" bottom="0.08" header="0.03" footer="0.1"/>
  <pageSetup paperSize="8" scale="43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Plan.CalculateUnitsAndWeights" imageMso="Calculator"/>
          <button id="UnloadPortsButton" label="Clear Ports" size="large" onAction="CargoPlan.UnloadSelectedPorts" imageMso="AddInsMenu"/>
          <button id="PreArrivalButton" label="Pre-Arrival" size="large" onAction="CargoPlan.PreArrivalPort" imageMso="DataSubmitToOfficeServer"/>
        </group>
        <group id="DrawingPlanGroup" label="Drawings">
          <button id="AddCargoTextBox" label="Cargo Text Box" size="large" onAction="CargoBox.AddCargoTextBox" imageMso="TextBoxWordClassic"/>
        </group>
        <group id="PortsArrangementGroup" label="Ports Arrangement">
          <button id="MoveRowUpButton" label="Move Row Up" size="normal" onAction="TableArrangement.MoveTableRowUp" imageMso="ShapeUpArrow"/>
          <button id="MoveRowDownButton" label="Move Row Down" size="normal" onAction="TableArrangement.MoveTableRowDown" imageMso="ShapeDownA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StowagePlan!Print_Area</vt:lpstr>
      <vt:lpstr>UPPER_DECK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user</cp:lastModifiedBy>
  <cp:lastPrinted>2020-10-08T16:20:50Z</cp:lastPrinted>
  <dcterms:created xsi:type="dcterms:W3CDTF">2015-10-05T22:40:48Z</dcterms:created>
  <dcterms:modified xsi:type="dcterms:W3CDTF">2020-10-10T01:46:35Z</dcterms:modified>
</cp:coreProperties>
</file>