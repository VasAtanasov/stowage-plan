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0AAD4CAF-6D3B-4BFC-986E-8E9D65A29480}" xr6:coauthVersionLast="45" xr6:coauthVersionMax="45" xr10:uidLastSave="{00000000-0000-0000-0000-000000000000}"/>
  <bookViews>
    <workbookView minimized="1" xWindow="3105" yWindow="3420" windowWidth="21600" windowHeight="11385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StowagePlan!$AU$9:$CH$21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StowagePlan!$Q$9:$AT$21</definedName>
    <definedName name="LOWER_DECK">StowagePlan!$AA$102:$CP$137</definedName>
    <definedName name="PortsList">StowagePlan!$B$9:$M$21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I8" i="53" l="1"/>
  <c r="CN8" i="53"/>
  <c r="CN15" i="53" l="1"/>
  <c r="CN9" i="53"/>
  <c r="CN19" i="53"/>
  <c r="CN12" i="53"/>
  <c r="CN17" i="53"/>
  <c r="CN11" i="53"/>
  <c r="CN10" i="53"/>
  <c r="CN18" i="53"/>
  <c r="CN16" i="53"/>
  <c r="CN13" i="53"/>
  <c r="CN14" i="53"/>
  <c r="CN20" i="53"/>
  <c r="CN21" i="53"/>
  <c r="CN22" i="53"/>
  <c r="CI15" i="53"/>
  <c r="CI9" i="53"/>
  <c r="CI19" i="53"/>
  <c r="CI12" i="53"/>
  <c r="CI17" i="53"/>
  <c r="CI11" i="53"/>
  <c r="CI10" i="53"/>
  <c r="CI18" i="53"/>
  <c r="CI16" i="53"/>
  <c r="CI13" i="53"/>
  <c r="CI14" i="53"/>
  <c r="CI20" i="53"/>
  <c r="CI21" i="53"/>
  <c r="CI22" i="53"/>
  <c r="DC104" i="53" a="1"/>
  <c r="DC85" i="53" a="1"/>
  <c r="DC47" i="53" a="1"/>
  <c r="DC122" i="53" a="1"/>
  <c r="DC131" i="53" a="1"/>
  <c r="DC38" i="53" a="1"/>
  <c r="DC113" i="53" a="1"/>
  <c r="DC29" i="53" a="1"/>
  <c r="DC76" i="53" a="1"/>
  <c r="DC56" i="53" a="1"/>
  <c r="DC94" i="53" a="1"/>
  <c r="DC67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AR140" i="53" a="1"/>
  <c r="BQ140" i="53" a="1"/>
  <c r="CL140" i="53" a="1"/>
  <c r="P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<sst xmlns="http://schemas.openxmlformats.org/spreadsheetml/2006/main" count="105" uniqueCount="61">
  <si>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</si>
  <si>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</si>
  <si>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</si>
  <si>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</si>
  <si>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</si>
  <si>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</si>
  <si>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</si>
  <si>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</si>
  <si>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</si>
  <si>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</si>
  <si>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</si>
  <si>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</si>
  <si>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</si>
  <si>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</si>
  <si>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</si>
  <si>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</si>
  <si>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</si>
  <si>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</si>
  <si>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</si>
  <si>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</si>
  <si>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</si>
  <si>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</si>
  <si>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</si>
  <si>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</si>
  <si>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</si>
  <si>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</si>
  <si>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</si>
  <si>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</si>
  <si>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</si>
  <si>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</si>
  <si>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</si>
  <si>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</si>
  <si>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</si>
  <si>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</si>
  <si>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</si>
  <si>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</si>
  <si>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</si>
  <si>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</si>
  <si>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</si>
  <si>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</si>
  <si>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</si>
  <si>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</si>
  <si>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</si>
  <si>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</si>
  <si>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</si>
  <si>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</si>
  <si>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</si>
  <si>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</si>
  <si>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</si>
  <si>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</si>
  <si>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</si>
  <si>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</si>
  <si>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</si>
  <si>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</si>
  <si>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</si>
  <si>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</si>
  <si>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</si>
  <si>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</si>
  <si>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</t>
  </si>
  <si>
    <t>A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</si>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</sst>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500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9" fillId="18" borderId="17" xfId="0" applyFont="1" applyFill="1" applyBorder="1" applyAlignment="1">
      <alignment horizontal="center" vertical="center"/>
    </xf>
    <xf numFmtId="0" fontId="9" fillId="18" borderId="36" xfId="0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2" borderId="56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56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169" fontId="15" fillId="3" borderId="0" xfId="0" applyNumberFormat="1" applyFont="1" applyFill="1" applyBorder="1" applyAlignment="1">
      <alignment horizontal="center" vertical="center"/>
    </xf>
    <xf numFmtId="170" fontId="15" fillId="3" borderId="0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170" fontId="15" fillId="5" borderId="0" xfId="0" applyNumberFormat="1" applyFont="1" applyFill="1" applyBorder="1" applyAlignment="1">
      <alignment horizontal="center" vertical="center"/>
    </xf>
    <xf numFmtId="169" fontId="15" fillId="5" borderId="0" xfId="0" applyNumberFormat="1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4434986"/>
          <a:ext cx="3419475" cy="6147619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1137977"/>
          <a:ext cx="901933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143"/>
  <sheetViews>
    <sheetView tabSelected="1" view="pageBreakPreview" zoomScale="85" zoomScaleNormal="70" zoomScaleSheetLayoutView="85" workbookViewId="0">
      <selection activeCell="CL28" sqref="CL28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20.100000000000001" customHeight="1"/>
    <row r="2" spans="2:106" ht="20.100000000000001" customHeight="1">
      <c r="B2" s="1" t="s">
        <v>14</v>
      </c>
      <c r="AL2" s="380" t="s">
        <v>15</v>
      </c>
      <c r="AM2" s="380"/>
      <c r="AN2" s="380"/>
      <c r="AO2" s="380"/>
      <c r="AP2" s="380"/>
      <c r="AQ2" s="380"/>
      <c r="AR2" s="380"/>
      <c r="AS2" s="380"/>
      <c r="AT2" s="380"/>
      <c r="AU2" s="380"/>
      <c r="AV2" s="380"/>
      <c r="AW2" s="380"/>
      <c r="AX2" s="380"/>
      <c r="AY2" s="380"/>
      <c r="AZ2" s="380"/>
      <c r="BA2" s="380"/>
      <c r="BB2" s="380"/>
      <c r="BC2" s="380"/>
      <c r="BD2" s="380"/>
      <c r="BE2" s="380"/>
      <c r="BF2" s="380"/>
      <c r="BG2" s="380"/>
      <c r="BH2" s="380"/>
      <c r="BI2" s="380"/>
      <c r="BJ2" s="380"/>
      <c r="BK2" s="380"/>
      <c r="BL2" s="380"/>
      <c r="BM2" s="380"/>
      <c r="BO2" s="185" t="s">
        <v>16</v>
      </c>
      <c r="BP2" s="185"/>
      <c r="BQ2" s="185"/>
      <c r="BR2" s="185"/>
      <c r="BS2" s="185"/>
      <c r="BT2" s="185"/>
      <c r="BU2" s="106" t="s">
        <v>57</v>
      </c>
      <c r="BV2" s="106"/>
      <c r="BW2" s="106"/>
      <c r="BX2" s="106"/>
      <c r="BY2" s="106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380"/>
      <c r="AM3" s="380"/>
      <c r="AN3" s="380"/>
      <c r="AO3" s="380"/>
      <c r="AP3" s="380"/>
      <c r="AQ3" s="380"/>
      <c r="AR3" s="380"/>
      <c r="AS3" s="380"/>
      <c r="AT3" s="380"/>
      <c r="AU3" s="380"/>
      <c r="AV3" s="380"/>
      <c r="AW3" s="380"/>
      <c r="AX3" s="380"/>
      <c r="AY3" s="380"/>
      <c r="AZ3" s="380"/>
      <c r="BA3" s="380"/>
      <c r="BB3" s="380"/>
      <c r="BC3" s="380"/>
      <c r="BD3" s="380"/>
      <c r="BE3" s="380"/>
      <c r="BF3" s="380"/>
      <c r="BG3" s="380"/>
      <c r="BH3" s="380"/>
      <c r="BI3" s="380"/>
      <c r="BJ3" s="380"/>
      <c r="BK3" s="380"/>
      <c r="BL3" s="380"/>
      <c r="BM3" s="380"/>
      <c r="BN3" s="22"/>
      <c r="BO3" s="185" t="s">
        <v>17</v>
      </c>
      <c r="BP3" s="185"/>
      <c r="BQ3" s="185"/>
      <c r="BR3" s="185"/>
      <c r="BS3" s="185"/>
      <c r="BT3" s="185"/>
      <c r="BU3" s="106" t="s">
        <v>58</v>
      </c>
      <c r="BV3" s="106"/>
      <c r="BW3" s="106"/>
      <c r="BX3" s="106"/>
      <c r="BY3" s="106"/>
      <c r="BZ3" s="106"/>
      <c r="CA3" s="106"/>
      <c r="CB3" s="106"/>
      <c r="CC3" s="3"/>
      <c r="CD3" s="266" t="s">
        <v>0</v>
      </c>
      <c r="CE3" s="266"/>
      <c r="CF3" s="266"/>
      <c r="CM3" s="22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20.100000000000001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314" t="s">
        <v>49</v>
      </c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6"/>
      <c r="Q5" s="314" t="s">
        <v>6</v>
      </c>
      <c r="R5" s="315"/>
      <c r="S5" s="315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6"/>
      <c r="AU5" s="305" t="s">
        <v>8</v>
      </c>
      <c r="AV5" s="306"/>
      <c r="AW5" s="306"/>
      <c r="AX5" s="306"/>
      <c r="AY5" s="306"/>
      <c r="AZ5" s="306"/>
      <c r="BA5" s="306"/>
      <c r="BB5" s="306"/>
      <c r="BC5" s="306"/>
      <c r="BD5" s="307"/>
      <c r="BE5" s="305" t="s">
        <v>9</v>
      </c>
      <c r="BF5" s="306"/>
      <c r="BG5" s="306"/>
      <c r="BH5" s="306"/>
      <c r="BI5" s="306"/>
      <c r="BJ5" s="306"/>
      <c r="BK5" s="306"/>
      <c r="BL5" s="306"/>
      <c r="BM5" s="306"/>
      <c r="BN5" s="307"/>
      <c r="BO5" s="305" t="s">
        <v>10</v>
      </c>
      <c r="BP5" s="306"/>
      <c r="BQ5" s="306"/>
      <c r="BR5" s="306"/>
      <c r="BS5" s="306"/>
      <c r="BT5" s="306"/>
      <c r="BU5" s="306"/>
      <c r="BV5" s="306"/>
      <c r="BW5" s="306"/>
      <c r="BX5" s="307"/>
      <c r="BY5" s="305" t="s">
        <v>11</v>
      </c>
      <c r="BZ5" s="306"/>
      <c r="CA5" s="306"/>
      <c r="CB5" s="306"/>
      <c r="CC5" s="306"/>
      <c r="CD5" s="306"/>
      <c r="CE5" s="306"/>
      <c r="CF5" s="306"/>
      <c r="CG5" s="306"/>
      <c r="CH5" s="307"/>
      <c r="CI5" s="311" t="s">
        <v>7</v>
      </c>
      <c r="CJ5" s="312"/>
      <c r="CK5" s="312"/>
      <c r="CL5" s="312"/>
      <c r="CM5" s="312"/>
      <c r="CN5" s="312"/>
      <c r="CO5" s="312"/>
      <c r="CP5" s="312"/>
      <c r="CQ5" s="312"/>
      <c r="CR5" s="312"/>
      <c r="CS5" s="312"/>
      <c r="CT5" s="312"/>
      <c r="CU5" s="312"/>
      <c r="CV5" s="312"/>
      <c r="CW5" s="312"/>
      <c r="CX5" s="312"/>
      <c r="CY5" s="312"/>
      <c r="CZ5" s="312"/>
      <c r="DA5" s="312"/>
      <c r="DB5" s="313"/>
    </row>
    <row r="6" spans="2:106" ht="20.100000000000001" customHeight="1" thickBot="1">
      <c r="B6" s="317"/>
      <c r="C6" s="318"/>
      <c r="D6" s="318"/>
      <c r="E6" s="318"/>
      <c r="F6" s="318"/>
      <c r="G6" s="318"/>
      <c r="H6" s="318"/>
      <c r="I6" s="318"/>
      <c r="J6" s="318"/>
      <c r="K6" s="318"/>
      <c r="L6" s="318"/>
      <c r="M6" s="318"/>
      <c r="N6" s="318"/>
      <c r="O6" s="318"/>
      <c r="P6" s="319"/>
      <c r="Q6" s="317"/>
      <c r="R6" s="318"/>
      <c r="S6" s="318"/>
      <c r="T6" s="318"/>
      <c r="U6" s="318"/>
      <c r="V6" s="318"/>
      <c r="W6" s="318"/>
      <c r="X6" s="318"/>
      <c r="Y6" s="318"/>
      <c r="Z6" s="318"/>
      <c r="AA6" s="318"/>
      <c r="AB6" s="318"/>
      <c r="AC6" s="318"/>
      <c r="AD6" s="318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318"/>
      <c r="AP6" s="318"/>
      <c r="AQ6" s="318"/>
      <c r="AR6" s="318"/>
      <c r="AS6" s="318"/>
      <c r="AT6" s="319"/>
      <c r="AU6" s="308"/>
      <c r="AV6" s="309"/>
      <c r="AW6" s="309"/>
      <c r="AX6" s="309"/>
      <c r="AY6" s="309"/>
      <c r="AZ6" s="309"/>
      <c r="BA6" s="309"/>
      <c r="BB6" s="309"/>
      <c r="BC6" s="309"/>
      <c r="BD6" s="310"/>
      <c r="BE6" s="308"/>
      <c r="BF6" s="309"/>
      <c r="BG6" s="309"/>
      <c r="BH6" s="309"/>
      <c r="BI6" s="309"/>
      <c r="BJ6" s="309"/>
      <c r="BK6" s="309"/>
      <c r="BL6" s="309"/>
      <c r="BM6" s="309"/>
      <c r="BN6" s="310"/>
      <c r="BO6" s="308"/>
      <c r="BP6" s="309"/>
      <c r="BQ6" s="309"/>
      <c r="BR6" s="309"/>
      <c r="BS6" s="309"/>
      <c r="BT6" s="309"/>
      <c r="BU6" s="309"/>
      <c r="BV6" s="309"/>
      <c r="BW6" s="309"/>
      <c r="BX6" s="310"/>
      <c r="BY6" s="308"/>
      <c r="BZ6" s="309"/>
      <c r="CA6" s="309"/>
      <c r="CB6" s="309"/>
      <c r="CC6" s="309"/>
      <c r="CD6" s="309"/>
      <c r="CE6" s="309"/>
      <c r="CF6" s="309"/>
      <c r="CG6" s="309"/>
      <c r="CH6" s="310"/>
      <c r="CI6" s="94" t="s">
        <v>13</v>
      </c>
      <c r="CJ6" s="95"/>
      <c r="CK6" s="95"/>
      <c r="CL6" s="95"/>
      <c r="CM6" s="95"/>
      <c r="CN6" s="95"/>
      <c r="CO6" s="95"/>
      <c r="CP6" s="95"/>
      <c r="CQ6" s="95"/>
      <c r="CR6" s="95"/>
      <c r="CS6" s="95" t="s">
        <v>18</v>
      </c>
      <c r="CT6" s="95"/>
      <c r="CU6" s="95"/>
      <c r="CV6" s="95"/>
      <c r="CW6" s="95"/>
      <c r="CX6" s="95"/>
      <c r="CY6" s="95"/>
      <c r="CZ6" s="95"/>
      <c r="DA6" s="95"/>
      <c r="DB6" s="96"/>
    </row>
    <row r="7" spans="2:106" ht="20.100000000000001" customHeight="1" thickTop="1" thickBot="1">
      <c r="B7" s="297" t="s">
        <v>51</v>
      </c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300"/>
      <c r="N7" s="299" t="s">
        <v>50</v>
      </c>
      <c r="O7" s="298"/>
      <c r="P7" s="301"/>
      <c r="Q7" s="452"/>
      <c r="R7" s="453"/>
      <c r="S7" s="454"/>
      <c r="T7" s="452"/>
      <c r="U7" s="453"/>
      <c r="V7" s="454"/>
      <c r="W7" s="452"/>
      <c r="X7" s="453"/>
      <c r="Y7" s="454"/>
      <c r="Z7" s="452"/>
      <c r="AA7" s="453"/>
      <c r="AB7" s="454"/>
      <c r="AC7" s="452"/>
      <c r="AD7" s="453"/>
      <c r="AE7" s="454"/>
      <c r="AF7" s="452"/>
      <c r="AG7" s="453"/>
      <c r="AH7" s="454"/>
      <c r="AI7" s="452"/>
      <c r="AJ7" s="453"/>
      <c r="AK7" s="454"/>
      <c r="AL7" s="452"/>
      <c r="AM7" s="453"/>
      <c r="AN7" s="454"/>
      <c r="AO7" s="452"/>
      <c r="AP7" s="453"/>
      <c r="AQ7" s="454"/>
      <c r="AR7" s="452"/>
      <c r="AS7" s="453"/>
      <c r="AT7" s="454"/>
      <c r="AU7" s="297" t="s">
        <v>13</v>
      </c>
      <c r="AV7" s="298"/>
      <c r="AW7" s="298"/>
      <c r="AX7" s="298"/>
      <c r="AY7" s="298"/>
      <c r="AZ7" s="299" t="s">
        <v>19</v>
      </c>
      <c r="BA7" s="298"/>
      <c r="BB7" s="298"/>
      <c r="BC7" s="298"/>
      <c r="BD7" s="300"/>
      <c r="BE7" s="297" t="s">
        <v>13</v>
      </c>
      <c r="BF7" s="298"/>
      <c r="BG7" s="298"/>
      <c r="BH7" s="298"/>
      <c r="BI7" s="298"/>
      <c r="BJ7" s="299" t="s">
        <v>19</v>
      </c>
      <c r="BK7" s="298"/>
      <c r="BL7" s="298"/>
      <c r="BM7" s="298"/>
      <c r="BN7" s="300"/>
      <c r="BO7" s="297" t="s">
        <v>13</v>
      </c>
      <c r="BP7" s="298"/>
      <c r="BQ7" s="298"/>
      <c r="BR7" s="298"/>
      <c r="BS7" s="298"/>
      <c r="BT7" s="299" t="s">
        <v>19</v>
      </c>
      <c r="BU7" s="298"/>
      <c r="BV7" s="298"/>
      <c r="BW7" s="298"/>
      <c r="BX7" s="300"/>
      <c r="BY7" s="297" t="s">
        <v>13</v>
      </c>
      <c r="BZ7" s="298"/>
      <c r="CA7" s="298"/>
      <c r="CB7" s="298"/>
      <c r="CC7" s="298"/>
      <c r="CD7" s="299" t="s">
        <v>19</v>
      </c>
      <c r="CE7" s="298"/>
      <c r="CF7" s="298"/>
      <c r="CG7" s="298"/>
      <c r="CH7" s="301"/>
      <c r="CI7" s="297" t="s">
        <v>13</v>
      </c>
      <c r="CJ7" s="298"/>
      <c r="CK7" s="298"/>
      <c r="CL7" s="298"/>
      <c r="CM7" s="298"/>
      <c r="CN7" s="299" t="s">
        <v>19</v>
      </c>
      <c r="CO7" s="298"/>
      <c r="CP7" s="298"/>
      <c r="CQ7" s="298"/>
      <c r="CR7" s="301"/>
      <c r="CS7" s="302" t="s">
        <v>20</v>
      </c>
      <c r="CT7" s="303"/>
      <c r="CU7" s="303"/>
      <c r="CV7" s="303"/>
      <c r="CW7" s="303"/>
      <c r="CX7" s="303" t="s">
        <v>19</v>
      </c>
      <c r="CY7" s="303"/>
      <c r="CZ7" s="303"/>
      <c r="DA7" s="303"/>
      <c r="DB7" s="304"/>
    </row>
    <row r="8" spans="2:106" ht="20.100000000000001" customHeight="1">
      <c r="B8" s="476" t="s">
        <v>59</v>
      </c>
      <c r="C8" s="477"/>
      <c r="D8" s="477"/>
      <c r="E8" s="477"/>
      <c r="F8" s="477"/>
      <c r="G8" s="477"/>
      <c r="H8" s="477"/>
      <c r="I8" s="477"/>
      <c r="J8" s="477"/>
      <c r="K8" s="477"/>
      <c r="L8" s="477"/>
      <c r="M8" s="478"/>
      <c r="N8" s="479"/>
      <c r="O8" s="477"/>
      <c r="P8" s="480"/>
      <c r="Q8" s="481"/>
      <c r="R8" s="482"/>
      <c r="S8" s="482"/>
      <c r="T8" s="482"/>
      <c r="U8" s="482"/>
      <c r="V8" s="482"/>
      <c r="W8" s="482"/>
      <c r="X8" s="482"/>
      <c r="Y8" s="482"/>
      <c r="Z8" s="482"/>
      <c r="AA8" s="482"/>
      <c r="AB8" s="482"/>
      <c r="AC8" s="482"/>
      <c r="AD8" s="482"/>
      <c r="AE8" s="482"/>
      <c r="AF8" s="482"/>
      <c r="AG8" s="482"/>
      <c r="AH8" s="482"/>
      <c r="AI8" s="482"/>
      <c r="AJ8" s="482"/>
      <c r="AK8" s="482"/>
      <c r="AL8" s="482"/>
      <c r="AM8" s="482"/>
      <c r="AN8" s="482"/>
      <c r="AO8" s="482"/>
      <c r="AP8" s="482"/>
      <c r="AQ8" s="482"/>
      <c r="AR8" s="482"/>
      <c r="AS8" s="482"/>
      <c r="AT8" s="486"/>
      <c r="AU8" s="124">
        <v>75</v>
      </c>
      <c r="AV8" s="125"/>
      <c r="AW8" s="125"/>
      <c r="AX8" s="125"/>
      <c r="AY8" s="125"/>
      <c r="AZ8" s="483">
        <v>36.900000000000006</v>
      </c>
      <c r="BA8" s="483"/>
      <c r="BB8" s="483"/>
      <c r="BC8" s="483"/>
      <c r="BD8" s="483"/>
      <c r="BE8" s="125">
        <v>25</v>
      </c>
      <c r="BF8" s="125"/>
      <c r="BG8" s="125"/>
      <c r="BH8" s="125"/>
      <c r="BI8" s="125"/>
      <c r="BJ8" s="483">
        <v>12.3</v>
      </c>
      <c r="BK8" s="483"/>
      <c r="BL8" s="483"/>
      <c r="BM8" s="483"/>
      <c r="BN8" s="483"/>
      <c r="BO8" s="125">
        <v>75</v>
      </c>
      <c r="BP8" s="125"/>
      <c r="BQ8" s="125"/>
      <c r="BR8" s="125"/>
      <c r="BS8" s="125"/>
      <c r="BT8" s="483">
        <v>36.900000000000006</v>
      </c>
      <c r="BU8" s="483"/>
      <c r="BV8" s="483"/>
      <c r="BW8" s="483"/>
      <c r="BX8" s="483"/>
      <c r="BY8" s="125">
        <v>25</v>
      </c>
      <c r="BZ8" s="125"/>
      <c r="CA8" s="125"/>
      <c r="CB8" s="125"/>
      <c r="CC8" s="125"/>
      <c r="CD8" s="483">
        <v>12.3</v>
      </c>
      <c r="CE8" s="483"/>
      <c r="CF8" s="483"/>
      <c r="CG8" s="483"/>
      <c r="CH8" s="484"/>
      <c r="CI8" s="118">
        <f t="shared" ref="CI8:CI17" si="0">IF(B8="","",SUM(AU8,BE8,BO8,BY8))</f>
        <v>200</v>
      </c>
      <c r="CJ8" s="119"/>
      <c r="CK8" s="119"/>
      <c r="CL8" s="119"/>
      <c r="CM8" s="120"/>
      <c r="CN8" s="121">
        <f t="shared" ref="CN8:CN17" si="1">IF(B8="","",SUM(AZ8,BJ8,BT8,CD8))</f>
        <v>98.4</v>
      </c>
      <c r="CO8" s="122"/>
      <c r="CP8" s="122"/>
      <c r="CQ8" s="122"/>
      <c r="CR8" s="123"/>
      <c r="CS8" s="124"/>
      <c r="CT8" s="125"/>
      <c r="CU8" s="125"/>
      <c r="CV8" s="125"/>
      <c r="CW8" s="125"/>
      <c r="CX8" s="125"/>
      <c r="CY8" s="125"/>
      <c r="CZ8" s="125"/>
      <c r="DA8" s="125"/>
      <c r="DB8" s="485"/>
    </row>
    <row r="9" spans="2:106" s="85" customFormat="1" ht="20.100000000000001" customHeight="1" thickBot="1">
      <c r="B9" s="323" t="s">
        <v>60</v>
      </c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5"/>
      <c r="N9" s="329"/>
      <c r="O9" s="324"/>
      <c r="P9" s="330"/>
      <c r="Q9" s="438"/>
      <c r="R9" s="434"/>
      <c r="S9" s="434"/>
      <c r="T9" s="434"/>
      <c r="U9" s="434"/>
      <c r="V9" s="434"/>
      <c r="W9" s="434"/>
      <c r="X9" s="434"/>
      <c r="Y9" s="434"/>
      <c r="Z9" s="434"/>
      <c r="AA9" s="434"/>
      <c r="AB9" s="434"/>
      <c r="AC9" s="434"/>
      <c r="AD9" s="434"/>
      <c r="AE9" s="434"/>
      <c r="AF9" s="434"/>
      <c r="AG9" s="434"/>
      <c r="AH9" s="434"/>
      <c r="AI9" s="434"/>
      <c r="AJ9" s="434"/>
      <c r="AK9" s="434"/>
      <c r="AL9" s="434"/>
      <c r="AM9" s="434"/>
      <c r="AN9" s="434"/>
      <c r="AO9" s="434"/>
      <c r="AP9" s="434"/>
      <c r="AQ9" s="434"/>
      <c r="AR9" s="434"/>
      <c r="AS9" s="434"/>
      <c r="AT9" s="444"/>
      <c r="AU9" s="147">
        <v>90</v>
      </c>
      <c r="AV9" s="148"/>
      <c r="AW9" s="148"/>
      <c r="AX9" s="148"/>
      <c r="AY9" s="148"/>
      <c r="AZ9" s="284">
        <v>270.60000000000002</v>
      </c>
      <c r="BA9" s="284"/>
      <c r="BB9" s="284"/>
      <c r="BC9" s="284"/>
      <c r="BD9" s="284"/>
      <c r="BE9" s="148">
        <v>45</v>
      </c>
      <c r="BF9" s="148"/>
      <c r="BG9" s="148"/>
      <c r="BH9" s="148"/>
      <c r="BI9" s="148"/>
      <c r="BJ9" s="284">
        <v>135.30000000000001</v>
      </c>
      <c r="BK9" s="284"/>
      <c r="BL9" s="284"/>
      <c r="BM9" s="284"/>
      <c r="BN9" s="284"/>
      <c r="BO9" s="148">
        <v>90</v>
      </c>
      <c r="BP9" s="148"/>
      <c r="BQ9" s="148"/>
      <c r="BR9" s="148"/>
      <c r="BS9" s="148"/>
      <c r="BT9" s="284">
        <v>270.60000000000002</v>
      </c>
      <c r="BU9" s="284"/>
      <c r="BV9" s="284"/>
      <c r="BW9" s="284"/>
      <c r="BX9" s="284"/>
      <c r="BY9" s="148"/>
      <c r="BZ9" s="148"/>
      <c r="CA9" s="148"/>
      <c r="CB9" s="148"/>
      <c r="CC9" s="148"/>
      <c r="CD9" s="284"/>
      <c r="CE9" s="284"/>
      <c r="CF9" s="284"/>
      <c r="CG9" s="284"/>
      <c r="CH9" s="285"/>
      <c r="CI9" s="267">
        <f t="shared" si="0"/>
        <v>225</v>
      </c>
      <c r="CJ9" s="268"/>
      <c r="CK9" s="268"/>
      <c r="CL9" s="268"/>
      <c r="CM9" s="269"/>
      <c r="CN9" s="270">
        <f t="shared" si="1"/>
        <v>676.5</v>
      </c>
      <c r="CO9" s="271"/>
      <c r="CP9" s="271"/>
      <c r="CQ9" s="271"/>
      <c r="CR9" s="272"/>
      <c r="CS9" s="147"/>
      <c r="CT9" s="148"/>
      <c r="CU9" s="148"/>
      <c r="CV9" s="148"/>
      <c r="CW9" s="148"/>
      <c r="CX9" s="148"/>
      <c r="CY9" s="148"/>
      <c r="CZ9" s="148"/>
      <c r="DA9" s="148"/>
      <c r="DB9" s="204"/>
    </row>
    <row r="10" spans="2:106" ht="20.100000000000001" hidden="1" customHeight="1">
      <c r="B10" s="414"/>
      <c r="C10" s="343"/>
      <c r="D10" s="343"/>
      <c r="E10" s="343"/>
      <c r="F10" s="343"/>
      <c r="G10" s="343"/>
      <c r="H10" s="343"/>
      <c r="I10" s="343"/>
      <c r="J10" s="343"/>
      <c r="K10" s="343"/>
      <c r="L10" s="343"/>
      <c r="M10" s="415"/>
      <c r="N10" s="342"/>
      <c r="O10" s="343"/>
      <c r="P10" s="344"/>
      <c r="Q10" s="385"/>
      <c r="R10" s="386"/>
      <c r="S10" s="386"/>
      <c r="T10" s="386"/>
      <c r="U10" s="386"/>
      <c r="V10" s="386"/>
      <c r="W10" s="386"/>
      <c r="X10" s="386"/>
      <c r="Y10" s="386"/>
      <c r="Z10" s="386"/>
      <c r="AA10" s="386"/>
      <c r="AB10" s="386"/>
      <c r="AC10" s="386"/>
      <c r="AD10" s="386"/>
      <c r="AE10" s="386"/>
      <c r="AF10" s="386"/>
      <c r="AG10" s="386"/>
      <c r="AH10" s="386"/>
      <c r="AI10" s="386"/>
      <c r="AJ10" s="386"/>
      <c r="AK10" s="386"/>
      <c r="AL10" s="386"/>
      <c r="AM10" s="386"/>
      <c r="AN10" s="386"/>
      <c r="AO10" s="386"/>
      <c r="AP10" s="386"/>
      <c r="AQ10" s="386"/>
      <c r="AR10" s="386"/>
      <c r="AS10" s="386"/>
      <c r="AT10" s="446"/>
      <c r="AU10" s="197"/>
      <c r="AV10" s="198"/>
      <c r="AW10" s="198"/>
      <c r="AX10" s="198"/>
      <c r="AY10" s="198"/>
      <c r="AZ10" s="281"/>
      <c r="BA10" s="281"/>
      <c r="BB10" s="281"/>
      <c r="BC10" s="281"/>
      <c r="BD10" s="281"/>
      <c r="BE10" s="198"/>
      <c r="BF10" s="198"/>
      <c r="BG10" s="198"/>
      <c r="BH10" s="198"/>
      <c r="BI10" s="198"/>
      <c r="BJ10" s="281"/>
      <c r="BK10" s="281"/>
      <c r="BL10" s="281"/>
      <c r="BM10" s="281"/>
      <c r="BN10" s="281"/>
      <c r="BO10" s="198"/>
      <c r="BP10" s="198"/>
      <c r="BQ10" s="198"/>
      <c r="BR10" s="198"/>
      <c r="BS10" s="198"/>
      <c r="BT10" s="281"/>
      <c r="BU10" s="281"/>
      <c r="BV10" s="281"/>
      <c r="BW10" s="281"/>
      <c r="BX10" s="281"/>
      <c r="BY10" s="198"/>
      <c r="BZ10" s="198"/>
      <c r="CA10" s="198"/>
      <c r="CB10" s="198"/>
      <c r="CC10" s="198"/>
      <c r="CD10" s="281"/>
      <c r="CE10" s="281"/>
      <c r="CF10" s="281"/>
      <c r="CG10" s="281"/>
      <c r="CH10" s="282"/>
      <c r="CI10" s="217" t="str">
        <f>IF(B10="","",SUM(AU10,BE10,BO10,BY10))</f>
        <v/>
      </c>
      <c r="CJ10" s="218"/>
      <c r="CK10" s="218"/>
      <c r="CL10" s="218"/>
      <c r="CM10" s="219"/>
      <c r="CN10" s="220" t="str">
        <f>IF(B10="","",SUM(AZ10,BJ10,BT10,CD10))</f>
        <v/>
      </c>
      <c r="CO10" s="221"/>
      <c r="CP10" s="221"/>
      <c r="CQ10" s="221"/>
      <c r="CR10" s="222"/>
      <c r="CS10" s="197"/>
      <c r="CT10" s="198"/>
      <c r="CU10" s="198"/>
      <c r="CV10" s="198"/>
      <c r="CW10" s="198"/>
      <c r="CX10" s="198"/>
      <c r="CY10" s="198"/>
      <c r="CZ10" s="198"/>
      <c r="DA10" s="198"/>
      <c r="DB10" s="265"/>
    </row>
    <row r="11" spans="2:106" ht="20.100000000000001" hidden="1" customHeight="1">
      <c r="B11" s="412"/>
      <c r="C11" s="340"/>
      <c r="D11" s="340"/>
      <c r="E11" s="340"/>
      <c r="F11" s="340"/>
      <c r="G11" s="340"/>
      <c r="H11" s="340"/>
      <c r="I11" s="340"/>
      <c r="J11" s="340"/>
      <c r="K11" s="340"/>
      <c r="L11" s="340"/>
      <c r="M11" s="413"/>
      <c r="N11" s="339"/>
      <c r="O11" s="340"/>
      <c r="P11" s="341"/>
      <c r="Q11" s="383"/>
      <c r="R11" s="384"/>
      <c r="S11" s="384"/>
      <c r="T11" s="384"/>
      <c r="U11" s="384"/>
      <c r="V11" s="384"/>
      <c r="W11" s="384"/>
      <c r="X11" s="384"/>
      <c r="Y11" s="384"/>
      <c r="Z11" s="384"/>
      <c r="AA11" s="384"/>
      <c r="AB11" s="384"/>
      <c r="AC11" s="384"/>
      <c r="AD11" s="384"/>
      <c r="AE11" s="384"/>
      <c r="AF11" s="384"/>
      <c r="AG11" s="384"/>
      <c r="AH11" s="384"/>
      <c r="AI11" s="384"/>
      <c r="AJ11" s="384"/>
      <c r="AK11" s="384"/>
      <c r="AL11" s="384"/>
      <c r="AM11" s="384"/>
      <c r="AN11" s="384"/>
      <c r="AO11" s="384"/>
      <c r="AP11" s="384"/>
      <c r="AQ11" s="384"/>
      <c r="AR11" s="384"/>
      <c r="AS11" s="384"/>
      <c r="AT11" s="443"/>
      <c r="AU11" s="134"/>
      <c r="AV11" s="135"/>
      <c r="AW11" s="135"/>
      <c r="AX11" s="135"/>
      <c r="AY11" s="135"/>
      <c r="AZ11" s="279"/>
      <c r="BA11" s="279"/>
      <c r="BB11" s="279"/>
      <c r="BC11" s="279"/>
      <c r="BD11" s="279"/>
      <c r="BE11" s="135"/>
      <c r="BF11" s="135"/>
      <c r="BG11" s="135"/>
      <c r="BH11" s="135"/>
      <c r="BI11" s="135"/>
      <c r="BJ11" s="279"/>
      <c r="BK11" s="279"/>
      <c r="BL11" s="279"/>
      <c r="BM11" s="279"/>
      <c r="BN11" s="279"/>
      <c r="BO11" s="135"/>
      <c r="BP11" s="135"/>
      <c r="BQ11" s="135"/>
      <c r="BR11" s="135"/>
      <c r="BS11" s="135"/>
      <c r="BT11" s="279"/>
      <c r="BU11" s="279"/>
      <c r="BV11" s="279"/>
      <c r="BW11" s="279"/>
      <c r="BX11" s="279"/>
      <c r="BY11" s="135"/>
      <c r="BZ11" s="135"/>
      <c r="CA11" s="135"/>
      <c r="CB11" s="135"/>
      <c r="CC11" s="135"/>
      <c r="CD11" s="279"/>
      <c r="CE11" s="279"/>
      <c r="CF11" s="279"/>
      <c r="CG11" s="279"/>
      <c r="CH11" s="280"/>
      <c r="CI11" s="294" t="str">
        <f t="shared" si="0"/>
        <v/>
      </c>
      <c r="CJ11" s="295"/>
      <c r="CK11" s="295"/>
      <c r="CL11" s="295"/>
      <c r="CM11" s="296"/>
      <c r="CN11" s="223" t="str">
        <f t="shared" si="1"/>
        <v/>
      </c>
      <c r="CO11" s="224"/>
      <c r="CP11" s="224"/>
      <c r="CQ11" s="224"/>
      <c r="CR11" s="225"/>
      <c r="CS11" s="134"/>
      <c r="CT11" s="135"/>
      <c r="CU11" s="135"/>
      <c r="CV11" s="135"/>
      <c r="CW11" s="135"/>
      <c r="CX11" s="135"/>
      <c r="CY11" s="135"/>
      <c r="CZ11" s="135"/>
      <c r="DA11" s="135"/>
      <c r="DB11" s="264"/>
    </row>
    <row r="12" spans="2:106" ht="20.100000000000001" hidden="1" customHeight="1">
      <c r="B12" s="408"/>
      <c r="C12" s="334"/>
      <c r="D12" s="334"/>
      <c r="E12" s="334"/>
      <c r="F12" s="334"/>
      <c r="G12" s="334"/>
      <c r="H12" s="334"/>
      <c r="I12" s="334"/>
      <c r="J12" s="334"/>
      <c r="K12" s="334"/>
      <c r="L12" s="334"/>
      <c r="M12" s="409"/>
      <c r="N12" s="333"/>
      <c r="O12" s="334"/>
      <c r="P12" s="335"/>
      <c r="Q12" s="440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  <c r="AE12" s="435"/>
      <c r="AF12" s="435"/>
      <c r="AG12" s="435"/>
      <c r="AH12" s="435"/>
      <c r="AI12" s="435"/>
      <c r="AJ12" s="435"/>
      <c r="AK12" s="435"/>
      <c r="AL12" s="435"/>
      <c r="AM12" s="435"/>
      <c r="AN12" s="435"/>
      <c r="AO12" s="435"/>
      <c r="AP12" s="435"/>
      <c r="AQ12" s="435"/>
      <c r="AR12" s="435"/>
      <c r="AS12" s="435"/>
      <c r="AT12" s="445"/>
      <c r="AU12" s="151"/>
      <c r="AV12" s="126"/>
      <c r="AW12" s="126"/>
      <c r="AX12" s="126"/>
      <c r="AY12" s="126"/>
      <c r="AZ12" s="275"/>
      <c r="BA12" s="275"/>
      <c r="BB12" s="275"/>
      <c r="BC12" s="275"/>
      <c r="BD12" s="275"/>
      <c r="BE12" s="126"/>
      <c r="BF12" s="126"/>
      <c r="BG12" s="126"/>
      <c r="BH12" s="126"/>
      <c r="BI12" s="126"/>
      <c r="BJ12" s="275"/>
      <c r="BK12" s="275"/>
      <c r="BL12" s="275"/>
      <c r="BM12" s="275"/>
      <c r="BN12" s="275"/>
      <c r="BO12" s="126"/>
      <c r="BP12" s="126"/>
      <c r="BQ12" s="126"/>
      <c r="BR12" s="126"/>
      <c r="BS12" s="126"/>
      <c r="BT12" s="275"/>
      <c r="BU12" s="275"/>
      <c r="BV12" s="275"/>
      <c r="BW12" s="275"/>
      <c r="BX12" s="275"/>
      <c r="BY12" s="126"/>
      <c r="BZ12" s="126"/>
      <c r="CA12" s="126"/>
      <c r="CB12" s="126"/>
      <c r="CC12" s="126"/>
      <c r="CD12" s="275"/>
      <c r="CE12" s="275"/>
      <c r="CF12" s="275"/>
      <c r="CG12" s="275"/>
      <c r="CH12" s="276"/>
      <c r="CI12" s="128" t="str">
        <f t="shared" si="0"/>
        <v/>
      </c>
      <c r="CJ12" s="129"/>
      <c r="CK12" s="129"/>
      <c r="CL12" s="129"/>
      <c r="CM12" s="130"/>
      <c r="CN12" s="131" t="str">
        <f t="shared" si="1"/>
        <v/>
      </c>
      <c r="CO12" s="132"/>
      <c r="CP12" s="132"/>
      <c r="CQ12" s="132"/>
      <c r="CR12" s="133"/>
      <c r="CS12" s="151"/>
      <c r="CT12" s="126"/>
      <c r="CU12" s="126"/>
      <c r="CV12" s="126"/>
      <c r="CW12" s="126"/>
      <c r="CX12" s="126"/>
      <c r="CY12" s="126"/>
      <c r="CZ12" s="126"/>
      <c r="DA12" s="126"/>
      <c r="DB12" s="127"/>
    </row>
    <row r="13" spans="2:106" ht="20.100000000000001" hidden="1" customHeight="1">
      <c r="B13" s="420"/>
      <c r="C13" s="396"/>
      <c r="D13" s="396"/>
      <c r="E13" s="396"/>
      <c r="F13" s="396"/>
      <c r="G13" s="396"/>
      <c r="H13" s="396"/>
      <c r="I13" s="396"/>
      <c r="J13" s="396"/>
      <c r="K13" s="396"/>
      <c r="L13" s="396"/>
      <c r="M13" s="421"/>
      <c r="N13" s="395"/>
      <c r="O13" s="396"/>
      <c r="P13" s="397"/>
      <c r="Q13" s="353"/>
      <c r="R13" s="354"/>
      <c r="S13" s="354"/>
      <c r="T13" s="354"/>
      <c r="U13" s="354"/>
      <c r="V13" s="354"/>
      <c r="W13" s="354"/>
      <c r="X13" s="354"/>
      <c r="Y13" s="354"/>
      <c r="Z13" s="354"/>
      <c r="AA13" s="354"/>
      <c r="AB13" s="354"/>
      <c r="AC13" s="354"/>
      <c r="AD13" s="354"/>
      <c r="AE13" s="354"/>
      <c r="AF13" s="354"/>
      <c r="AG13" s="354"/>
      <c r="AH13" s="354"/>
      <c r="AI13" s="354"/>
      <c r="AJ13" s="354"/>
      <c r="AK13" s="354"/>
      <c r="AL13" s="354"/>
      <c r="AM13" s="354"/>
      <c r="AN13" s="354"/>
      <c r="AO13" s="354"/>
      <c r="AP13" s="354"/>
      <c r="AQ13" s="354"/>
      <c r="AR13" s="354"/>
      <c r="AS13" s="354"/>
      <c r="AT13" s="455"/>
      <c r="AU13" s="138"/>
      <c r="AV13" s="139"/>
      <c r="AW13" s="139"/>
      <c r="AX13" s="139"/>
      <c r="AY13" s="139"/>
      <c r="AZ13" s="154"/>
      <c r="BA13" s="154"/>
      <c r="BB13" s="154"/>
      <c r="BC13" s="154"/>
      <c r="BD13" s="154"/>
      <c r="BE13" s="139"/>
      <c r="BF13" s="139"/>
      <c r="BG13" s="139"/>
      <c r="BH13" s="139"/>
      <c r="BI13" s="139"/>
      <c r="BJ13" s="154"/>
      <c r="BK13" s="154"/>
      <c r="BL13" s="154"/>
      <c r="BM13" s="154"/>
      <c r="BN13" s="154"/>
      <c r="BO13" s="139"/>
      <c r="BP13" s="139"/>
      <c r="BQ13" s="139"/>
      <c r="BR13" s="139"/>
      <c r="BS13" s="139"/>
      <c r="BT13" s="154"/>
      <c r="BU13" s="154"/>
      <c r="BV13" s="154"/>
      <c r="BW13" s="154"/>
      <c r="BX13" s="154"/>
      <c r="BY13" s="139"/>
      <c r="BZ13" s="139"/>
      <c r="CA13" s="139"/>
      <c r="CB13" s="139"/>
      <c r="CC13" s="139"/>
      <c r="CD13" s="154"/>
      <c r="CE13" s="154"/>
      <c r="CF13" s="154"/>
      <c r="CG13" s="154"/>
      <c r="CH13" s="286"/>
      <c r="CI13" s="205" t="str">
        <f t="shared" si="0"/>
        <v/>
      </c>
      <c r="CJ13" s="206"/>
      <c r="CK13" s="206"/>
      <c r="CL13" s="206"/>
      <c r="CM13" s="207"/>
      <c r="CN13" s="208" t="str">
        <f t="shared" si="1"/>
        <v/>
      </c>
      <c r="CO13" s="209"/>
      <c r="CP13" s="209"/>
      <c r="CQ13" s="209"/>
      <c r="CR13" s="210"/>
      <c r="CS13" s="138"/>
      <c r="CT13" s="139"/>
      <c r="CU13" s="139"/>
      <c r="CV13" s="139"/>
      <c r="CW13" s="139"/>
      <c r="CX13" s="139"/>
      <c r="CY13" s="139"/>
      <c r="CZ13" s="139"/>
      <c r="DA13" s="139"/>
      <c r="DB13" s="140"/>
    </row>
    <row r="14" spans="2:106" ht="20.100000000000001" hidden="1" customHeight="1">
      <c r="B14" s="422"/>
      <c r="C14" s="399"/>
      <c r="D14" s="399"/>
      <c r="E14" s="399"/>
      <c r="F14" s="399"/>
      <c r="G14" s="399"/>
      <c r="H14" s="399"/>
      <c r="I14" s="399"/>
      <c r="J14" s="399"/>
      <c r="K14" s="399"/>
      <c r="L14" s="399"/>
      <c r="M14" s="423"/>
      <c r="N14" s="398"/>
      <c r="O14" s="399"/>
      <c r="P14" s="400"/>
      <c r="Q14" s="355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6"/>
      <c r="AT14" s="493"/>
      <c r="AU14" s="141"/>
      <c r="AV14" s="142"/>
      <c r="AW14" s="142"/>
      <c r="AX14" s="142"/>
      <c r="AY14" s="142"/>
      <c r="AZ14" s="155"/>
      <c r="BA14" s="155"/>
      <c r="BB14" s="155"/>
      <c r="BC14" s="155"/>
      <c r="BD14" s="155"/>
      <c r="BE14" s="142"/>
      <c r="BF14" s="142"/>
      <c r="BG14" s="142"/>
      <c r="BH14" s="142"/>
      <c r="BI14" s="142"/>
      <c r="BJ14" s="155"/>
      <c r="BK14" s="155"/>
      <c r="BL14" s="155"/>
      <c r="BM14" s="155"/>
      <c r="BN14" s="155"/>
      <c r="BO14" s="142"/>
      <c r="BP14" s="142"/>
      <c r="BQ14" s="142"/>
      <c r="BR14" s="142"/>
      <c r="BS14" s="142"/>
      <c r="BT14" s="155"/>
      <c r="BU14" s="155"/>
      <c r="BV14" s="155"/>
      <c r="BW14" s="155"/>
      <c r="BX14" s="155"/>
      <c r="BY14" s="142"/>
      <c r="BZ14" s="142"/>
      <c r="CA14" s="142"/>
      <c r="CB14" s="142"/>
      <c r="CC14" s="142"/>
      <c r="CD14" s="155"/>
      <c r="CE14" s="155"/>
      <c r="CF14" s="155"/>
      <c r="CG14" s="155"/>
      <c r="CH14" s="287"/>
      <c r="CI14" s="211" t="str">
        <f t="shared" si="0"/>
        <v/>
      </c>
      <c r="CJ14" s="212"/>
      <c r="CK14" s="212"/>
      <c r="CL14" s="212"/>
      <c r="CM14" s="213"/>
      <c r="CN14" s="214" t="str">
        <f t="shared" si="1"/>
        <v/>
      </c>
      <c r="CO14" s="215"/>
      <c r="CP14" s="215"/>
      <c r="CQ14" s="215"/>
      <c r="CR14" s="216"/>
      <c r="CS14" s="141"/>
      <c r="CT14" s="142"/>
      <c r="CU14" s="142"/>
      <c r="CV14" s="142"/>
      <c r="CW14" s="142"/>
      <c r="CX14" s="142"/>
      <c r="CY14" s="142"/>
      <c r="CZ14" s="142"/>
      <c r="DA14" s="142"/>
      <c r="DB14" s="203"/>
    </row>
    <row r="15" spans="2:106" ht="20.100000000000001" hidden="1" customHeight="1">
      <c r="B15" s="320"/>
      <c r="C15" s="321"/>
      <c r="D15" s="321"/>
      <c r="E15" s="321"/>
      <c r="F15" s="321"/>
      <c r="G15" s="321"/>
      <c r="H15" s="321"/>
      <c r="I15" s="321"/>
      <c r="J15" s="321"/>
      <c r="K15" s="321"/>
      <c r="L15" s="321"/>
      <c r="M15" s="322"/>
      <c r="N15" s="351"/>
      <c r="O15" s="321"/>
      <c r="P15" s="352"/>
      <c r="Q15" s="436"/>
      <c r="R15" s="437"/>
      <c r="S15" s="437"/>
      <c r="T15" s="437"/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  <c r="AE15" s="437"/>
      <c r="AF15" s="437"/>
      <c r="AG15" s="437"/>
      <c r="AH15" s="437"/>
      <c r="AI15" s="437"/>
      <c r="AJ15" s="437"/>
      <c r="AK15" s="437"/>
      <c r="AL15" s="437"/>
      <c r="AM15" s="437"/>
      <c r="AN15" s="437"/>
      <c r="AO15" s="437"/>
      <c r="AP15" s="437"/>
      <c r="AQ15" s="437"/>
      <c r="AR15" s="437"/>
      <c r="AS15" s="437"/>
      <c r="AT15" s="441"/>
      <c r="AU15" s="145"/>
      <c r="AV15" s="146"/>
      <c r="AW15" s="146"/>
      <c r="AX15" s="146"/>
      <c r="AY15" s="146"/>
      <c r="AZ15" s="261"/>
      <c r="BA15" s="261"/>
      <c r="BB15" s="261"/>
      <c r="BC15" s="261"/>
      <c r="BD15" s="261"/>
      <c r="BE15" s="146"/>
      <c r="BF15" s="146"/>
      <c r="BG15" s="146"/>
      <c r="BH15" s="146"/>
      <c r="BI15" s="146"/>
      <c r="BJ15" s="261"/>
      <c r="BK15" s="261"/>
      <c r="BL15" s="261"/>
      <c r="BM15" s="261"/>
      <c r="BN15" s="261"/>
      <c r="BO15" s="146"/>
      <c r="BP15" s="146"/>
      <c r="BQ15" s="146"/>
      <c r="BR15" s="146"/>
      <c r="BS15" s="146"/>
      <c r="BT15" s="261"/>
      <c r="BU15" s="261"/>
      <c r="BV15" s="261"/>
      <c r="BW15" s="261"/>
      <c r="BX15" s="261"/>
      <c r="BY15" s="146"/>
      <c r="BZ15" s="146"/>
      <c r="CA15" s="146"/>
      <c r="CB15" s="146"/>
      <c r="CC15" s="146"/>
      <c r="CD15" s="261"/>
      <c r="CE15" s="261"/>
      <c r="CF15" s="261"/>
      <c r="CG15" s="261"/>
      <c r="CH15" s="262"/>
      <c r="CI15" s="253" t="str">
        <f t="shared" si="0"/>
        <v/>
      </c>
      <c r="CJ15" s="254"/>
      <c r="CK15" s="254"/>
      <c r="CL15" s="254"/>
      <c r="CM15" s="255"/>
      <c r="CN15" s="256" t="str">
        <f t="shared" si="1"/>
        <v/>
      </c>
      <c r="CO15" s="257"/>
      <c r="CP15" s="257"/>
      <c r="CQ15" s="257"/>
      <c r="CR15" s="258"/>
      <c r="CS15" s="145"/>
      <c r="CT15" s="146"/>
      <c r="CU15" s="146"/>
      <c r="CV15" s="146"/>
      <c r="CW15" s="146"/>
      <c r="CX15" s="146"/>
      <c r="CY15" s="146"/>
      <c r="CZ15" s="146"/>
      <c r="DA15" s="146"/>
      <c r="DB15" s="245"/>
    </row>
    <row r="16" spans="2:106" ht="20.100000000000001" hidden="1" customHeight="1">
      <c r="B16" s="418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419"/>
      <c r="N16" s="348"/>
      <c r="O16" s="349"/>
      <c r="P16" s="350"/>
      <c r="Q16" s="426"/>
      <c r="R16" s="427"/>
      <c r="S16" s="427"/>
      <c r="T16" s="427"/>
      <c r="U16" s="427"/>
      <c r="V16" s="427"/>
      <c r="W16" s="427"/>
      <c r="X16" s="427"/>
      <c r="Y16" s="427"/>
      <c r="Z16" s="427"/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48"/>
      <c r="AU16" s="199"/>
      <c r="AV16" s="136"/>
      <c r="AW16" s="136"/>
      <c r="AX16" s="136"/>
      <c r="AY16" s="136"/>
      <c r="AZ16" s="153"/>
      <c r="BA16" s="153"/>
      <c r="BB16" s="153"/>
      <c r="BC16" s="153"/>
      <c r="BD16" s="153"/>
      <c r="BE16" s="136"/>
      <c r="BF16" s="136"/>
      <c r="BG16" s="136"/>
      <c r="BH16" s="136"/>
      <c r="BI16" s="136"/>
      <c r="BJ16" s="153"/>
      <c r="BK16" s="153"/>
      <c r="BL16" s="153"/>
      <c r="BM16" s="153"/>
      <c r="BN16" s="153"/>
      <c r="BO16" s="136"/>
      <c r="BP16" s="136"/>
      <c r="BQ16" s="136"/>
      <c r="BR16" s="136"/>
      <c r="BS16" s="136"/>
      <c r="BT16" s="153"/>
      <c r="BU16" s="153"/>
      <c r="BV16" s="153"/>
      <c r="BW16" s="153"/>
      <c r="BX16" s="153"/>
      <c r="BY16" s="136"/>
      <c r="BZ16" s="136"/>
      <c r="CA16" s="136"/>
      <c r="CB16" s="136"/>
      <c r="CC16" s="136"/>
      <c r="CD16" s="153"/>
      <c r="CE16" s="153"/>
      <c r="CF16" s="153"/>
      <c r="CG16" s="153"/>
      <c r="CH16" s="260"/>
      <c r="CI16" s="232" t="str">
        <f t="shared" si="0"/>
        <v/>
      </c>
      <c r="CJ16" s="233"/>
      <c r="CK16" s="233"/>
      <c r="CL16" s="233"/>
      <c r="CM16" s="234"/>
      <c r="CN16" s="235" t="str">
        <f t="shared" si="1"/>
        <v/>
      </c>
      <c r="CO16" s="236"/>
      <c r="CP16" s="236"/>
      <c r="CQ16" s="236"/>
      <c r="CR16" s="237"/>
      <c r="CS16" s="199"/>
      <c r="CT16" s="136"/>
      <c r="CU16" s="136"/>
      <c r="CV16" s="136"/>
      <c r="CW16" s="136"/>
      <c r="CX16" s="136"/>
      <c r="CY16" s="136"/>
      <c r="CZ16" s="136"/>
      <c r="DA16" s="136"/>
      <c r="DB16" s="137"/>
    </row>
    <row r="17" spans="2:107" ht="20.100000000000001" hidden="1" customHeight="1">
      <c r="B17" s="410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411"/>
      <c r="N17" s="336"/>
      <c r="O17" s="337"/>
      <c r="P17" s="338"/>
      <c r="Q17" s="381"/>
      <c r="R17" s="382"/>
      <c r="S17" s="382"/>
      <c r="T17" s="382"/>
      <c r="U17" s="382"/>
      <c r="V17" s="382"/>
      <c r="W17" s="382"/>
      <c r="X17" s="382"/>
      <c r="Y17" s="382"/>
      <c r="Z17" s="382"/>
      <c r="AA17" s="382"/>
      <c r="AB17" s="382"/>
      <c r="AC17" s="382"/>
      <c r="AD17" s="382"/>
      <c r="AE17" s="382"/>
      <c r="AF17" s="382"/>
      <c r="AG17" s="382"/>
      <c r="AH17" s="382"/>
      <c r="AI17" s="382"/>
      <c r="AJ17" s="382"/>
      <c r="AK17" s="382"/>
      <c r="AL17" s="382"/>
      <c r="AM17" s="382"/>
      <c r="AN17" s="382"/>
      <c r="AO17" s="382"/>
      <c r="AP17" s="382"/>
      <c r="AQ17" s="382"/>
      <c r="AR17" s="382"/>
      <c r="AS17" s="382"/>
      <c r="AT17" s="442"/>
      <c r="AU17" s="115"/>
      <c r="AV17" s="116"/>
      <c r="AW17" s="116"/>
      <c r="AX17" s="116"/>
      <c r="AY17" s="116"/>
      <c r="AZ17" s="277"/>
      <c r="BA17" s="277"/>
      <c r="BB17" s="277"/>
      <c r="BC17" s="277"/>
      <c r="BD17" s="277"/>
      <c r="BE17" s="116"/>
      <c r="BF17" s="116"/>
      <c r="BG17" s="116"/>
      <c r="BH17" s="116"/>
      <c r="BI17" s="116"/>
      <c r="BJ17" s="277"/>
      <c r="BK17" s="277"/>
      <c r="BL17" s="277"/>
      <c r="BM17" s="277"/>
      <c r="BN17" s="277"/>
      <c r="BO17" s="116"/>
      <c r="BP17" s="116"/>
      <c r="BQ17" s="116"/>
      <c r="BR17" s="116"/>
      <c r="BS17" s="116"/>
      <c r="BT17" s="277"/>
      <c r="BU17" s="277"/>
      <c r="BV17" s="277"/>
      <c r="BW17" s="277"/>
      <c r="BX17" s="277"/>
      <c r="BY17" s="116"/>
      <c r="BZ17" s="116"/>
      <c r="CA17" s="116"/>
      <c r="CB17" s="116"/>
      <c r="CC17" s="116"/>
      <c r="CD17" s="277"/>
      <c r="CE17" s="277"/>
      <c r="CF17" s="277"/>
      <c r="CG17" s="277"/>
      <c r="CH17" s="278"/>
      <c r="CI17" s="288" t="str">
        <f t="shared" si="0"/>
        <v/>
      </c>
      <c r="CJ17" s="289"/>
      <c r="CK17" s="289"/>
      <c r="CL17" s="289"/>
      <c r="CM17" s="290"/>
      <c r="CN17" s="291" t="str">
        <f t="shared" si="1"/>
        <v/>
      </c>
      <c r="CO17" s="292"/>
      <c r="CP17" s="292"/>
      <c r="CQ17" s="292"/>
      <c r="CR17" s="293"/>
      <c r="CS17" s="115"/>
      <c r="CT17" s="116"/>
      <c r="CU17" s="116"/>
      <c r="CV17" s="116"/>
      <c r="CW17" s="116"/>
      <c r="CX17" s="116"/>
      <c r="CY17" s="116"/>
      <c r="CZ17" s="116"/>
      <c r="DA17" s="116"/>
      <c r="DB17" s="117"/>
    </row>
    <row r="18" spans="2:107" ht="20.100000000000001" hidden="1" customHeight="1">
      <c r="B18" s="41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417"/>
      <c r="N18" s="345"/>
      <c r="O18" s="346"/>
      <c r="P18" s="347"/>
      <c r="Q18" s="387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8"/>
      <c r="AF18" s="388"/>
      <c r="AG18" s="388"/>
      <c r="AH18" s="388"/>
      <c r="AI18" s="388"/>
      <c r="AJ18" s="388"/>
      <c r="AK18" s="388"/>
      <c r="AL18" s="388"/>
      <c r="AM18" s="388"/>
      <c r="AN18" s="388"/>
      <c r="AO18" s="388"/>
      <c r="AP18" s="388"/>
      <c r="AQ18" s="388"/>
      <c r="AR18" s="388"/>
      <c r="AS18" s="388"/>
      <c r="AT18" s="447"/>
      <c r="AU18" s="97"/>
      <c r="AV18" s="98"/>
      <c r="AW18" s="98"/>
      <c r="AX18" s="98"/>
      <c r="AY18" s="98"/>
      <c r="AZ18" s="152"/>
      <c r="BA18" s="152"/>
      <c r="BB18" s="152"/>
      <c r="BC18" s="152"/>
      <c r="BD18" s="152"/>
      <c r="BE18" s="98"/>
      <c r="BF18" s="98"/>
      <c r="BG18" s="98"/>
      <c r="BH18" s="98"/>
      <c r="BI18" s="98"/>
      <c r="BJ18" s="152"/>
      <c r="BK18" s="152"/>
      <c r="BL18" s="152"/>
      <c r="BM18" s="152"/>
      <c r="BN18" s="152"/>
      <c r="BO18" s="98"/>
      <c r="BP18" s="98"/>
      <c r="BQ18" s="98"/>
      <c r="BR18" s="98"/>
      <c r="BS18" s="98"/>
      <c r="BT18" s="152"/>
      <c r="BU18" s="152"/>
      <c r="BV18" s="152"/>
      <c r="BW18" s="152"/>
      <c r="BX18" s="152"/>
      <c r="BY18" s="98"/>
      <c r="BZ18" s="98"/>
      <c r="CA18" s="98"/>
      <c r="CB18" s="98"/>
      <c r="CC18" s="98"/>
      <c r="CD18" s="152"/>
      <c r="CE18" s="152"/>
      <c r="CF18" s="152"/>
      <c r="CG18" s="152"/>
      <c r="CH18" s="283"/>
      <c r="CI18" s="246" t="str">
        <f t="shared" ref="CI18" si="2">IF(B18="","",SUM(AU18,BE18,BO18,BY18))</f>
        <v/>
      </c>
      <c r="CJ18" s="247"/>
      <c r="CK18" s="247"/>
      <c r="CL18" s="247"/>
      <c r="CM18" s="248"/>
      <c r="CN18" s="249" t="str">
        <f t="shared" ref="CN18" si="3">IF(B18="","",SUM(AZ18,BJ18,BT18,CD18))</f>
        <v/>
      </c>
      <c r="CO18" s="250"/>
      <c r="CP18" s="250"/>
      <c r="CQ18" s="250"/>
      <c r="CR18" s="251"/>
      <c r="CS18" s="97"/>
      <c r="CT18" s="98"/>
      <c r="CU18" s="98"/>
      <c r="CV18" s="98"/>
      <c r="CW18" s="98"/>
      <c r="CX18" s="98"/>
      <c r="CY18" s="98"/>
      <c r="CZ18" s="98"/>
      <c r="DA18" s="98"/>
      <c r="DB18" s="99"/>
    </row>
    <row r="19" spans="2:107" ht="20.100000000000001" hidden="1" customHeight="1">
      <c r="B19" s="326"/>
      <c r="C19" s="327"/>
      <c r="D19" s="327"/>
      <c r="E19" s="327"/>
      <c r="F19" s="327"/>
      <c r="G19" s="327"/>
      <c r="H19" s="327"/>
      <c r="I19" s="327"/>
      <c r="J19" s="327"/>
      <c r="K19" s="327"/>
      <c r="L19" s="327"/>
      <c r="M19" s="328"/>
      <c r="N19" s="331"/>
      <c r="O19" s="327"/>
      <c r="P19" s="332"/>
      <c r="Q19" s="439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B19" s="357"/>
      <c r="AC19" s="357"/>
      <c r="AD19" s="357"/>
      <c r="AE19" s="357"/>
      <c r="AF19" s="357"/>
      <c r="AG19" s="357"/>
      <c r="AH19" s="357"/>
      <c r="AI19" s="357"/>
      <c r="AJ19" s="357"/>
      <c r="AK19" s="357"/>
      <c r="AL19" s="357"/>
      <c r="AM19" s="357"/>
      <c r="AN19" s="357"/>
      <c r="AO19" s="357"/>
      <c r="AP19" s="357"/>
      <c r="AQ19" s="357"/>
      <c r="AR19" s="357"/>
      <c r="AS19" s="357"/>
      <c r="AT19" s="358"/>
      <c r="AU19" s="149"/>
      <c r="AV19" s="150"/>
      <c r="AW19" s="150"/>
      <c r="AX19" s="150"/>
      <c r="AY19" s="150"/>
      <c r="AZ19" s="273"/>
      <c r="BA19" s="273"/>
      <c r="BB19" s="273"/>
      <c r="BC19" s="273"/>
      <c r="BD19" s="273"/>
      <c r="BE19" s="150"/>
      <c r="BF19" s="150"/>
      <c r="BG19" s="150"/>
      <c r="BH19" s="150"/>
      <c r="BI19" s="150"/>
      <c r="BJ19" s="273"/>
      <c r="BK19" s="273"/>
      <c r="BL19" s="273"/>
      <c r="BM19" s="273"/>
      <c r="BN19" s="273"/>
      <c r="BO19" s="150"/>
      <c r="BP19" s="150"/>
      <c r="BQ19" s="150"/>
      <c r="BR19" s="150"/>
      <c r="BS19" s="150"/>
      <c r="BT19" s="273"/>
      <c r="BU19" s="273"/>
      <c r="BV19" s="273"/>
      <c r="BW19" s="273"/>
      <c r="BX19" s="273"/>
      <c r="BY19" s="150"/>
      <c r="BZ19" s="150"/>
      <c r="CA19" s="150"/>
      <c r="CB19" s="150"/>
      <c r="CC19" s="150"/>
      <c r="CD19" s="273"/>
      <c r="CE19" s="273"/>
      <c r="CF19" s="273"/>
      <c r="CG19" s="273"/>
      <c r="CH19" s="274"/>
      <c r="CI19" s="226" t="str">
        <f>IF(B19="","",SUM(AU19,BE19,BO19,BY19))</f>
        <v/>
      </c>
      <c r="CJ19" s="227"/>
      <c r="CK19" s="227"/>
      <c r="CL19" s="227"/>
      <c r="CM19" s="228"/>
      <c r="CN19" s="229" t="str">
        <f>IF(B19="","",SUM(AZ19,BJ19,BT19,CD19))</f>
        <v/>
      </c>
      <c r="CO19" s="230"/>
      <c r="CP19" s="230"/>
      <c r="CQ19" s="230"/>
      <c r="CR19" s="231"/>
      <c r="CS19" s="149"/>
      <c r="CT19" s="150"/>
      <c r="CU19" s="150"/>
      <c r="CV19" s="150"/>
      <c r="CW19" s="150"/>
      <c r="CX19" s="150"/>
      <c r="CY19" s="150"/>
      <c r="CZ19" s="150"/>
      <c r="DA19" s="150"/>
      <c r="DB19" s="252"/>
    </row>
    <row r="20" spans="2:107" ht="20.100000000000001" hidden="1" customHeight="1">
      <c r="B20" s="424"/>
      <c r="C20" s="402"/>
      <c r="D20" s="402"/>
      <c r="E20" s="402"/>
      <c r="F20" s="402"/>
      <c r="G20" s="402"/>
      <c r="H20" s="402"/>
      <c r="I20" s="402"/>
      <c r="J20" s="402"/>
      <c r="K20" s="402"/>
      <c r="L20" s="402"/>
      <c r="M20" s="425"/>
      <c r="N20" s="401"/>
      <c r="O20" s="402"/>
      <c r="P20" s="403"/>
      <c r="Q20" s="428"/>
      <c r="R20" s="429"/>
      <c r="S20" s="429"/>
      <c r="T20" s="429"/>
      <c r="U20" s="429"/>
      <c r="V20" s="429"/>
      <c r="W20" s="429"/>
      <c r="X20" s="429"/>
      <c r="Y20" s="429"/>
      <c r="Z20" s="429"/>
      <c r="AA20" s="429"/>
      <c r="AB20" s="429"/>
      <c r="AC20" s="429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29"/>
      <c r="AP20" s="429"/>
      <c r="AQ20" s="429"/>
      <c r="AR20" s="429"/>
      <c r="AS20" s="429"/>
      <c r="AT20" s="456"/>
      <c r="AU20" s="143"/>
      <c r="AV20" s="144"/>
      <c r="AW20" s="144"/>
      <c r="AX20" s="144"/>
      <c r="AY20" s="144"/>
      <c r="AZ20" s="156"/>
      <c r="BA20" s="156"/>
      <c r="BB20" s="156"/>
      <c r="BC20" s="156"/>
      <c r="BD20" s="156"/>
      <c r="BE20" s="144"/>
      <c r="BF20" s="144"/>
      <c r="BG20" s="144"/>
      <c r="BH20" s="144"/>
      <c r="BI20" s="144"/>
      <c r="BJ20" s="156"/>
      <c r="BK20" s="156"/>
      <c r="BL20" s="156"/>
      <c r="BM20" s="156"/>
      <c r="BN20" s="156"/>
      <c r="BO20" s="144"/>
      <c r="BP20" s="144"/>
      <c r="BQ20" s="144"/>
      <c r="BR20" s="144"/>
      <c r="BS20" s="144"/>
      <c r="BT20" s="156"/>
      <c r="BU20" s="156"/>
      <c r="BV20" s="156"/>
      <c r="BW20" s="156"/>
      <c r="BX20" s="156"/>
      <c r="BY20" s="144"/>
      <c r="BZ20" s="144"/>
      <c r="CA20" s="144"/>
      <c r="CB20" s="144"/>
      <c r="CC20" s="144"/>
      <c r="CD20" s="156"/>
      <c r="CE20" s="156"/>
      <c r="CF20" s="156"/>
      <c r="CG20" s="156"/>
      <c r="CH20" s="259"/>
      <c r="CI20" s="239" t="str">
        <f t="shared" ref="CI20" si="4">IF(B20="","",SUM(AU20,BE20,BO20,BY20))</f>
        <v/>
      </c>
      <c r="CJ20" s="240"/>
      <c r="CK20" s="240"/>
      <c r="CL20" s="240"/>
      <c r="CM20" s="241"/>
      <c r="CN20" s="242" t="str">
        <f t="shared" ref="CN20" si="5">IF(B20="","",SUM(AZ20,BJ20,BT20,CD20))</f>
        <v/>
      </c>
      <c r="CO20" s="243"/>
      <c r="CP20" s="243"/>
      <c r="CQ20" s="243"/>
      <c r="CR20" s="244"/>
      <c r="CS20" s="143"/>
      <c r="CT20" s="144"/>
      <c r="CU20" s="144"/>
      <c r="CV20" s="144"/>
      <c r="CW20" s="144"/>
      <c r="CX20" s="144"/>
      <c r="CY20" s="144"/>
      <c r="CZ20" s="144"/>
      <c r="DA20" s="144"/>
      <c r="DB20" s="263"/>
    </row>
    <row r="21" spans="2:107" ht="20.100000000000001" hidden="1" customHeight="1">
      <c r="B21" s="389"/>
      <c r="C21" s="390"/>
      <c r="D21" s="390"/>
      <c r="E21" s="390"/>
      <c r="F21" s="390"/>
      <c r="G21" s="390"/>
      <c r="H21" s="390"/>
      <c r="I21" s="390"/>
      <c r="J21" s="390"/>
      <c r="K21" s="390"/>
      <c r="L21" s="390"/>
      <c r="M21" s="391"/>
      <c r="N21" s="404"/>
      <c r="O21" s="390"/>
      <c r="P21" s="405"/>
      <c r="Q21" s="430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  <c r="AE21" s="431"/>
      <c r="AF21" s="431"/>
      <c r="AG21" s="431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  <c r="AR21" s="431"/>
      <c r="AS21" s="431"/>
      <c r="AT21" s="457"/>
      <c r="AU21" s="192"/>
      <c r="AV21" s="193"/>
      <c r="AW21" s="193"/>
      <c r="AX21" s="193"/>
      <c r="AY21" s="193"/>
      <c r="AZ21" s="195"/>
      <c r="BA21" s="195"/>
      <c r="BB21" s="195"/>
      <c r="BC21" s="195"/>
      <c r="BD21" s="195"/>
      <c r="BE21" s="193"/>
      <c r="BF21" s="193"/>
      <c r="BG21" s="193"/>
      <c r="BH21" s="193"/>
      <c r="BI21" s="193"/>
      <c r="BJ21" s="195"/>
      <c r="BK21" s="195"/>
      <c r="BL21" s="195"/>
      <c r="BM21" s="195"/>
      <c r="BN21" s="195"/>
      <c r="BO21" s="193"/>
      <c r="BP21" s="193"/>
      <c r="BQ21" s="193"/>
      <c r="BR21" s="193"/>
      <c r="BS21" s="193"/>
      <c r="BT21" s="195"/>
      <c r="BU21" s="195"/>
      <c r="BV21" s="195"/>
      <c r="BW21" s="195"/>
      <c r="BX21" s="195"/>
      <c r="BY21" s="193"/>
      <c r="BZ21" s="193"/>
      <c r="CA21" s="193"/>
      <c r="CB21" s="193"/>
      <c r="CC21" s="193"/>
      <c r="CD21" s="195"/>
      <c r="CE21" s="195"/>
      <c r="CF21" s="195"/>
      <c r="CG21" s="195"/>
      <c r="CH21" s="495"/>
      <c r="CI21" s="487" t="str">
        <f>IF(B21="","",SUM(AU21,BE21,BO21,BY21))</f>
        <v/>
      </c>
      <c r="CJ21" s="488"/>
      <c r="CK21" s="488"/>
      <c r="CL21" s="488"/>
      <c r="CM21" s="489"/>
      <c r="CN21" s="490" t="str">
        <f>IF(B21="","",SUM(AZ21,BJ21,BT21,CD21))</f>
        <v/>
      </c>
      <c r="CO21" s="491"/>
      <c r="CP21" s="491"/>
      <c r="CQ21" s="491"/>
      <c r="CR21" s="492"/>
      <c r="CS21" s="192"/>
      <c r="CT21" s="193"/>
      <c r="CU21" s="193"/>
      <c r="CV21" s="193"/>
      <c r="CW21" s="193"/>
      <c r="CX21" s="193"/>
      <c r="CY21" s="193"/>
      <c r="CZ21" s="193"/>
      <c r="DA21" s="193"/>
      <c r="DB21" s="238"/>
    </row>
    <row r="22" spans="2:107" ht="20.100000000000001" hidden="1" customHeight="1" thickBot="1">
      <c r="B22" s="392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4"/>
      <c r="N22" s="406"/>
      <c r="O22" s="393"/>
      <c r="P22" s="407"/>
      <c r="Q22" s="432"/>
      <c r="R22" s="433"/>
      <c r="S22" s="433"/>
      <c r="T22" s="433"/>
      <c r="U22" s="433"/>
      <c r="V22" s="433"/>
      <c r="W22" s="433"/>
      <c r="X22" s="433"/>
      <c r="Y22" s="433"/>
      <c r="Z22" s="433"/>
      <c r="AA22" s="433"/>
      <c r="AB22" s="433"/>
      <c r="AC22" s="433"/>
      <c r="AD22" s="433"/>
      <c r="AE22" s="433"/>
      <c r="AF22" s="433"/>
      <c r="AG22" s="433"/>
      <c r="AH22" s="433"/>
      <c r="AI22" s="433"/>
      <c r="AJ22" s="433"/>
      <c r="AK22" s="433"/>
      <c r="AL22" s="433"/>
      <c r="AM22" s="433"/>
      <c r="AN22" s="433"/>
      <c r="AO22" s="433"/>
      <c r="AP22" s="433"/>
      <c r="AQ22" s="433"/>
      <c r="AR22" s="433"/>
      <c r="AS22" s="433"/>
      <c r="AT22" s="458"/>
      <c r="AU22" s="194"/>
      <c r="AV22" s="107"/>
      <c r="AW22" s="107"/>
      <c r="AX22" s="107"/>
      <c r="AY22" s="107"/>
      <c r="AZ22" s="196"/>
      <c r="BA22" s="196"/>
      <c r="BB22" s="196"/>
      <c r="BC22" s="196"/>
      <c r="BD22" s="196"/>
      <c r="BE22" s="107"/>
      <c r="BF22" s="107"/>
      <c r="BG22" s="107"/>
      <c r="BH22" s="107"/>
      <c r="BI22" s="107"/>
      <c r="BJ22" s="196"/>
      <c r="BK22" s="196"/>
      <c r="BL22" s="196"/>
      <c r="BM22" s="196"/>
      <c r="BN22" s="196"/>
      <c r="BO22" s="107"/>
      <c r="BP22" s="107"/>
      <c r="BQ22" s="107"/>
      <c r="BR22" s="107"/>
      <c r="BS22" s="107"/>
      <c r="BT22" s="196"/>
      <c r="BU22" s="196"/>
      <c r="BV22" s="196"/>
      <c r="BW22" s="196"/>
      <c r="BX22" s="196"/>
      <c r="BY22" s="107"/>
      <c r="BZ22" s="107"/>
      <c r="CA22" s="107"/>
      <c r="CB22" s="107"/>
      <c r="CC22" s="107"/>
      <c r="CD22" s="196"/>
      <c r="CE22" s="196"/>
      <c r="CF22" s="196"/>
      <c r="CG22" s="196"/>
      <c r="CH22" s="496"/>
      <c r="CI22" s="109" t="str">
        <f>IF(B22="","",SUM(AU22,BE22,BO22,BY22))</f>
        <v/>
      </c>
      <c r="CJ22" s="110"/>
      <c r="CK22" s="110"/>
      <c r="CL22" s="110"/>
      <c r="CM22" s="111"/>
      <c r="CN22" s="112" t="str">
        <f>IF(B22="","",SUM(AZ22,BJ22,BT22,CD22))</f>
        <v/>
      </c>
      <c r="CO22" s="113"/>
      <c r="CP22" s="113"/>
      <c r="CQ22" s="113"/>
      <c r="CR22" s="114"/>
      <c r="CS22" s="194"/>
      <c r="CT22" s="107"/>
      <c r="CU22" s="107"/>
      <c r="CV22" s="107"/>
      <c r="CW22" s="107"/>
      <c r="CX22" s="107"/>
      <c r="CY22" s="107"/>
      <c r="CZ22" s="107"/>
      <c r="DA22" s="107"/>
      <c r="DB22" s="108"/>
    </row>
    <row r="23" spans="2:107" ht="19.5" customHeight="1" thickTop="1" thickBot="1">
      <c r="B23" s="91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449">
        <f>SUM(Q7:S21)</f>
        <v>0</v>
      </c>
      <c r="R23" s="450"/>
      <c r="S23" s="451"/>
      <c r="T23" s="449">
        <f>SUM(T7:V21)</f>
        <v>0</v>
      </c>
      <c r="U23" s="450"/>
      <c r="V23" s="451"/>
      <c r="W23" s="449">
        <f>SUM(W7:Y21)</f>
        <v>0</v>
      </c>
      <c r="X23" s="450"/>
      <c r="Y23" s="451"/>
      <c r="Z23" s="449">
        <f>SUM(Z7:AB21)</f>
        <v>0</v>
      </c>
      <c r="AA23" s="450"/>
      <c r="AB23" s="451"/>
      <c r="AC23" s="449">
        <f>SUM(AC7:AE21)</f>
        <v>0</v>
      </c>
      <c r="AD23" s="450"/>
      <c r="AE23" s="451"/>
      <c r="AF23" s="449">
        <f>SUM(AF7:AH21)</f>
        <v>0</v>
      </c>
      <c r="AG23" s="450"/>
      <c r="AH23" s="451"/>
      <c r="AI23" s="449">
        <f>SUM(AI7:AK21)</f>
        <v>0</v>
      </c>
      <c r="AJ23" s="450"/>
      <c r="AK23" s="451"/>
      <c r="AL23" s="449">
        <f>SUM(AL7:AN21)</f>
        <v>0</v>
      </c>
      <c r="AM23" s="450"/>
      <c r="AN23" s="451"/>
      <c r="AO23" s="449">
        <f>SUM(AO7:AQ21)</f>
        <v>0</v>
      </c>
      <c r="AP23" s="450"/>
      <c r="AQ23" s="451"/>
      <c r="AR23" s="449">
        <f>SUM(AR7:AT21)</f>
        <v>0</v>
      </c>
      <c r="AS23" s="450"/>
      <c r="AT23" s="451"/>
      <c r="AU23" s="186">
        <f>SUM(AU7:AY21)</f>
        <v>165</v>
      </c>
      <c r="AV23" s="187"/>
      <c r="AW23" s="187"/>
      <c r="AX23" s="187"/>
      <c r="AY23" s="188"/>
      <c r="AZ23" s="189">
        <f>SUM(AZ7:BD21)</f>
        <v>307.5</v>
      </c>
      <c r="BA23" s="190"/>
      <c r="BB23" s="190"/>
      <c r="BC23" s="190"/>
      <c r="BD23" s="191"/>
      <c r="BE23" s="186">
        <f>SUM(BE7:BI21)</f>
        <v>70</v>
      </c>
      <c r="BF23" s="187"/>
      <c r="BG23" s="187"/>
      <c r="BH23" s="187"/>
      <c r="BI23" s="188"/>
      <c r="BJ23" s="189">
        <f>SUM(BJ7:BN21)</f>
        <v>147.60000000000002</v>
      </c>
      <c r="BK23" s="190"/>
      <c r="BL23" s="190"/>
      <c r="BM23" s="190"/>
      <c r="BN23" s="191"/>
      <c r="BO23" s="186">
        <f>SUM(BO7:BS21)</f>
        <v>165</v>
      </c>
      <c r="BP23" s="187"/>
      <c r="BQ23" s="187"/>
      <c r="BR23" s="187"/>
      <c r="BS23" s="188"/>
      <c r="BT23" s="189">
        <f>SUM(BT7:BX21)</f>
        <v>307.5</v>
      </c>
      <c r="BU23" s="190"/>
      <c r="BV23" s="190"/>
      <c r="BW23" s="190"/>
      <c r="BX23" s="191"/>
      <c r="BY23" s="186">
        <f>SUM(BY7:CC21)</f>
        <v>25</v>
      </c>
      <c r="BZ23" s="187"/>
      <c r="CA23" s="187"/>
      <c r="CB23" s="187"/>
      <c r="CC23" s="188"/>
      <c r="CD23" s="189">
        <f>SUM(CD7:CH21)</f>
        <v>12.3</v>
      </c>
      <c r="CE23" s="190"/>
      <c r="CF23" s="190"/>
      <c r="CG23" s="190"/>
      <c r="CH23" s="191"/>
      <c r="CI23" s="91"/>
      <c r="CJ23" s="92"/>
      <c r="CK23" s="92"/>
      <c r="CL23" s="92"/>
      <c r="CM23" s="92"/>
      <c r="CN23" s="92"/>
      <c r="CO23" s="92"/>
      <c r="CP23" s="92"/>
      <c r="CQ23" s="92"/>
      <c r="CR23" s="92"/>
      <c r="CS23" s="92"/>
      <c r="CT23" s="92"/>
      <c r="CU23" s="92"/>
      <c r="CV23" s="92"/>
      <c r="CW23" s="92"/>
      <c r="CX23" s="92"/>
      <c r="CY23" s="92"/>
      <c r="CZ23" s="92"/>
      <c r="DA23" s="92"/>
      <c r="DB23" s="93"/>
    </row>
    <row r="24" spans="2:107" ht="19.5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8">
        <f>SUM(Q23:AT23)</f>
        <v>0</v>
      </c>
      <c r="AQ24" s="89"/>
      <c r="AR24" s="89"/>
      <c r="AS24" s="89"/>
      <c r="AT24" s="90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88">
        <f>SUM(CI7:CM21)</f>
        <v>425</v>
      </c>
      <c r="CJ24" s="89"/>
      <c r="CK24" s="89"/>
      <c r="CL24" s="89"/>
      <c r="CM24" s="90"/>
      <c r="CN24" s="497">
        <f>SUM(CN7:CR21)</f>
        <v>774.9</v>
      </c>
      <c r="CO24" s="498"/>
      <c r="CP24" s="498"/>
      <c r="CQ24" s="498"/>
      <c r="CR24" s="499"/>
      <c r="CS24" s="88">
        <f>SUM(CS7:CW21)</f>
        <v>0</v>
      </c>
      <c r="CT24" s="89"/>
      <c r="CU24" s="89"/>
      <c r="CV24" s="89"/>
      <c r="CW24" s="90"/>
      <c r="CX24" s="88">
        <f>SUM(CX7:DB21)</f>
        <v>0</v>
      </c>
      <c r="CY24" s="89"/>
      <c r="CZ24" s="89"/>
      <c r="DA24" s="89"/>
      <c r="DB24" s="90"/>
    </row>
    <row r="25" spans="2:107" ht="19.5" customHeight="1" thickTop="1">
      <c r="H25" s="7" t="s">
        <v>12</v>
      </c>
    </row>
    <row r="26" spans="2:107" ht="20.100000000000001" customHeight="1" thickBot="1">
      <c r="B26" s="459" t="s">
        <v>8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59"/>
      <c r="Z26" s="459"/>
      <c r="AA26" s="459" t="s">
        <v>9</v>
      </c>
      <c r="AB26" s="459"/>
      <c r="AC26" s="459"/>
      <c r="AD26" s="459"/>
      <c r="AE26" s="459"/>
      <c r="AF26" s="459"/>
      <c r="AG26" s="459"/>
      <c r="AH26" s="459"/>
      <c r="AI26" s="459"/>
      <c r="AJ26" s="459"/>
      <c r="AK26" s="459"/>
      <c r="AL26" s="459"/>
      <c r="AM26" s="459"/>
      <c r="AN26" s="459"/>
      <c r="AO26" s="459"/>
      <c r="AP26" s="459"/>
      <c r="AQ26" s="459"/>
      <c r="AR26" s="459"/>
      <c r="AS26" s="459"/>
      <c r="AT26" s="459"/>
      <c r="AU26" s="459"/>
      <c r="AV26" s="459"/>
      <c r="AW26" s="459"/>
      <c r="AX26" s="459"/>
      <c r="AY26" s="459"/>
      <c r="AZ26" s="459"/>
      <c r="BA26" s="459"/>
      <c r="BB26" s="459"/>
      <c r="BC26" s="494" t="s">
        <v>10</v>
      </c>
      <c r="BD26" s="494"/>
      <c r="BE26" s="494"/>
      <c r="BF26" s="494"/>
      <c r="BG26" s="494"/>
      <c r="BH26" s="494"/>
      <c r="BI26" s="494"/>
      <c r="BJ26" s="494"/>
      <c r="BK26" s="494"/>
      <c r="BL26" s="494"/>
      <c r="BM26" s="494"/>
      <c r="BN26" s="494"/>
      <c r="BO26" s="494"/>
      <c r="BP26" s="494"/>
      <c r="BQ26" s="494"/>
      <c r="BR26" s="494"/>
      <c r="BS26" s="494"/>
      <c r="BT26" s="494"/>
      <c r="BU26" s="494"/>
      <c r="BV26" s="494"/>
      <c r="BW26" s="494"/>
      <c r="BX26" s="494"/>
      <c r="BY26" s="494" t="s">
        <v>11</v>
      </c>
      <c r="BZ26" s="494"/>
      <c r="CA26" s="494"/>
      <c r="CB26" s="494"/>
      <c r="CC26" s="494"/>
      <c r="CD26" s="494"/>
      <c r="CE26" s="494"/>
      <c r="CF26" s="494"/>
      <c r="CG26" s="494"/>
      <c r="CH26" s="494"/>
      <c r="CI26" s="494"/>
      <c r="CJ26" s="494"/>
      <c r="CK26" s="494"/>
      <c r="CL26" s="494"/>
      <c r="CM26" s="494"/>
      <c r="CN26" s="494"/>
      <c r="CO26" s="494"/>
      <c r="CP26" s="494"/>
      <c r="CQ26" s="494"/>
      <c r="CR26" s="494"/>
      <c r="CS26" s="494"/>
      <c r="CT26" s="494"/>
      <c r="CU26" s="494"/>
      <c r="CV26" s="494"/>
      <c r="CW26" s="494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59"/>
      <c r="E29" s="59"/>
      <c r="F29" s="59"/>
      <c r="G29" s="59"/>
      <c r="H29" s="59"/>
      <c r="I29" s="59"/>
      <c r="J29" s="59"/>
      <c r="K29" s="378">
        <v>45</v>
      </c>
      <c r="L29" s="376"/>
      <c r="M29" s="376"/>
      <c r="N29" s="376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475">
        <v>25</v>
      </c>
      <c r="BF29" s="377"/>
      <c r="BG29" s="377"/>
      <c r="BH29" s="377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375">
        <v>124</v>
      </c>
      <c r="BZ29" s="375"/>
      <c r="CA29" s="375"/>
      <c r="CB29" s="375"/>
      <c r="CC29" s="36"/>
      <c r="CD29" s="36"/>
      <c r="CE29" s="36"/>
      <c r="CF29" s="36"/>
      <c r="CG29" s="36"/>
      <c r="CH29" s="377">
        <v>25</v>
      </c>
      <c r="CI29" s="377"/>
      <c r="CJ29" s="377"/>
      <c r="CK29" s="377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359">
        <f>DC29</f>
        <v>185</v>
      </c>
      <c r="CZ29" s="360"/>
      <c r="DA29" s="360"/>
      <c r="DB29" s="361"/>
      <c r="DC29" s="29">
        <f t="array" ref="DC29:DC30">TRANSPOSE(TotalUnitsAndWeightsSum(DECK12))</f>
        <v>185</v>
      </c>
    </row>
    <row r="30" spans="2:107" ht="20.100000000000001" customHeight="1" thickTop="1" thickBot="1">
      <c r="B30" s="84"/>
      <c r="C30" s="59"/>
      <c r="D30" s="59"/>
      <c r="E30" s="59"/>
      <c r="F30" s="59"/>
      <c r="G30" s="59"/>
      <c r="H30" s="59"/>
      <c r="I30" s="59"/>
      <c r="J30" s="59"/>
      <c r="K30" s="379">
        <v>135.30000000000001</v>
      </c>
      <c r="L30" s="376"/>
      <c r="M30" s="376"/>
      <c r="N30" s="376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474">
        <v>12.3</v>
      </c>
      <c r="BF30" s="377"/>
      <c r="BG30" s="377"/>
      <c r="BH30" s="377"/>
      <c r="BI30" s="59"/>
      <c r="BJ30" s="59"/>
      <c r="BK30" s="59"/>
      <c r="BL30" s="378">
        <v>45</v>
      </c>
      <c r="BM30" s="376"/>
      <c r="BN30" s="376"/>
      <c r="BO30" s="376"/>
      <c r="BP30" s="59"/>
      <c r="BQ30" s="59"/>
      <c r="BR30" s="59"/>
      <c r="BS30" s="76"/>
      <c r="BT30" s="35"/>
      <c r="BU30" s="36"/>
      <c r="BV30" s="36"/>
      <c r="BW30" s="59"/>
      <c r="BX30" s="59"/>
      <c r="BY30" s="375">
        <v>245.09</v>
      </c>
      <c r="BZ30" s="375"/>
      <c r="CA30" s="375"/>
      <c r="CB30" s="375"/>
      <c r="CC30" s="36"/>
      <c r="CD30" s="36"/>
      <c r="CE30" s="36"/>
      <c r="CF30" s="36"/>
      <c r="CG30" s="36"/>
      <c r="CH30" s="377">
        <v>12.3</v>
      </c>
      <c r="CI30" s="377"/>
      <c r="CJ30" s="377"/>
      <c r="CK30" s="377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Y30" s="366">
        <f>DC30</f>
        <v>430.50000000000006</v>
      </c>
      <c r="CZ30" s="367"/>
      <c r="DA30" s="367"/>
      <c r="DB30" s="368"/>
      <c r="DC30" s="29">
        <v>430.50000000000006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475">
        <v>25</v>
      </c>
      <c r="V31" s="377"/>
      <c r="W31" s="377"/>
      <c r="X31" s="377"/>
      <c r="Y31" s="59"/>
      <c r="Z31" s="76"/>
      <c r="AA31" s="59"/>
      <c r="AB31" s="59"/>
      <c r="AC31" s="59"/>
      <c r="AD31" s="36"/>
      <c r="AE31" s="59"/>
      <c r="AF31" s="378">
        <v>45</v>
      </c>
      <c r="AG31" s="376"/>
      <c r="AH31" s="376"/>
      <c r="AI31" s="376"/>
      <c r="AJ31" s="59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59"/>
      <c r="BI31" s="59"/>
      <c r="BJ31" s="59"/>
      <c r="BK31" s="59"/>
      <c r="BL31" s="379">
        <v>135.30000000000001</v>
      </c>
      <c r="BM31" s="376"/>
      <c r="BN31" s="376"/>
      <c r="BO31" s="376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474">
        <v>12.3</v>
      </c>
      <c r="V32" s="377"/>
      <c r="W32" s="377"/>
      <c r="X32" s="377"/>
      <c r="Y32" s="59"/>
      <c r="Z32" s="76"/>
      <c r="AA32" s="59"/>
      <c r="AB32" s="59"/>
      <c r="AC32" s="59"/>
      <c r="AD32" s="59"/>
      <c r="AE32" s="59"/>
      <c r="AF32" s="379">
        <v>135.30000000000001</v>
      </c>
      <c r="AG32" s="376"/>
      <c r="AH32" s="376"/>
      <c r="AI32" s="376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376">
        <v>45</v>
      </c>
      <c r="BZ32" s="376"/>
      <c r="CA32" s="376"/>
      <c r="CB32" s="37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376">
        <v>135.30000000000001</v>
      </c>
      <c r="BZ33" s="376"/>
      <c r="CA33" s="376"/>
      <c r="CB33" s="37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59"/>
      <c r="BO35" s="59"/>
      <c r="BP35" s="59"/>
      <c r="BQ35" s="59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181"/>
      <c r="K36" s="182"/>
      <c r="L36" s="182"/>
      <c r="M36" s="182"/>
      <c r="N36" s="183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359">
        <f>DC38</f>
        <v>190</v>
      </c>
      <c r="CZ38" s="360"/>
      <c r="DA38" s="360"/>
      <c r="DB38" s="361"/>
      <c r="DC38" s="29">
        <f t="array" ref="DC38:DC39">TRANSPOSE(TotalUnitsAndWeightsSum(DECK11))</f>
        <v>190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378">
        <v>45</v>
      </c>
      <c r="P39" s="376"/>
      <c r="Q39" s="376"/>
      <c r="R39" s="376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378">
        <v>45</v>
      </c>
      <c r="BP39" s="376"/>
      <c r="BQ39" s="376"/>
      <c r="BR39" s="376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366">
        <f>DC39</f>
        <v>319.80000000000007</v>
      </c>
      <c r="CZ39" s="367"/>
      <c r="DA39" s="367"/>
      <c r="DB39" s="368"/>
      <c r="DC39" s="29">
        <v>319.80000000000007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379">
        <v>135.30000000000001</v>
      </c>
      <c r="P40" s="376"/>
      <c r="Q40" s="376"/>
      <c r="R40" s="376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475">
        <v>25</v>
      </c>
      <c r="AD40" s="377"/>
      <c r="AE40" s="377"/>
      <c r="AF40" s="377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379">
        <v>135.30000000000001</v>
      </c>
      <c r="BP40" s="376"/>
      <c r="BQ40" s="376"/>
      <c r="BR40" s="376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475">
        <v>25</v>
      </c>
      <c r="F41" s="377"/>
      <c r="G41" s="377"/>
      <c r="H41" s="377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474">
        <v>12.3</v>
      </c>
      <c r="AD41" s="377"/>
      <c r="AE41" s="377"/>
      <c r="AF41" s="377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475">
        <v>25</v>
      </c>
      <c r="CE41" s="377"/>
      <c r="CF41" s="377"/>
      <c r="CG41" s="377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474">
        <v>12.3</v>
      </c>
      <c r="F42" s="377"/>
      <c r="G42" s="377"/>
      <c r="H42" s="377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72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474">
        <v>12.3</v>
      </c>
      <c r="CE42" s="377"/>
      <c r="CF42" s="377"/>
      <c r="CG42" s="377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72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475">
        <v>25</v>
      </c>
      <c r="BI43" s="377"/>
      <c r="BJ43" s="377"/>
      <c r="BK43" s="377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474">
        <v>12.3</v>
      </c>
      <c r="BI44" s="377"/>
      <c r="BJ44" s="377"/>
      <c r="BK44" s="377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471"/>
      <c r="K45" s="472"/>
      <c r="L45" s="472"/>
      <c r="M45" s="472"/>
      <c r="N45" s="473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359">
        <f>DC47</f>
        <v>50</v>
      </c>
      <c r="CZ47" s="360"/>
      <c r="DA47" s="360"/>
      <c r="DB47" s="361"/>
      <c r="DC47" s="29">
        <f t="array" ref="DC47:DC48">TRANSPOSE(TotalUnitsAndWeightsSum(DECK10))</f>
        <v>50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475">
        <v>25</v>
      </c>
      <c r="BJ48" s="377"/>
      <c r="BK48" s="377"/>
      <c r="BL48" s="377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100"/>
      <c r="CH48" s="101"/>
      <c r="CI48" s="101"/>
      <c r="CJ48" s="101"/>
      <c r="CK48" s="101"/>
      <c r="CL48" s="101"/>
      <c r="CM48" s="101"/>
      <c r="CN48" s="101"/>
      <c r="CO48" s="101"/>
      <c r="CP48" s="101"/>
      <c r="CQ48" s="101"/>
      <c r="CR48" s="102"/>
      <c r="CS48" s="36"/>
      <c r="CT48" s="36"/>
      <c r="CU48" s="36"/>
      <c r="CV48" s="36"/>
      <c r="CW48" s="37"/>
      <c r="CY48" s="366">
        <f>DC48</f>
        <v>24.6</v>
      </c>
      <c r="CZ48" s="367"/>
      <c r="DA48" s="367"/>
      <c r="DB48" s="368"/>
      <c r="DC48" s="29">
        <v>24.6</v>
      </c>
    </row>
    <row r="49" spans="2:109" ht="20.100000000000001" customHeight="1" thickTop="1">
      <c r="B49" s="84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475">
        <v>25</v>
      </c>
      <c r="T49" s="377"/>
      <c r="U49" s="377"/>
      <c r="V49" s="377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474">
        <v>12.3</v>
      </c>
      <c r="BJ49" s="377"/>
      <c r="BK49" s="377"/>
      <c r="BL49" s="377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103"/>
      <c r="CH49" s="104"/>
      <c r="CI49" s="104"/>
      <c r="CJ49" s="104"/>
      <c r="CK49" s="104"/>
      <c r="CL49" s="104"/>
      <c r="CM49" s="104"/>
      <c r="CN49" s="104"/>
      <c r="CO49" s="104"/>
      <c r="CP49" s="104"/>
      <c r="CQ49" s="104"/>
      <c r="CR49" s="105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474">
        <v>12.3</v>
      </c>
      <c r="T50" s="377"/>
      <c r="U50" s="377"/>
      <c r="V50" s="377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181"/>
      <c r="K54" s="182"/>
      <c r="L54" s="182"/>
      <c r="M54" s="182"/>
      <c r="N54" s="183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359">
        <f>DC56</f>
        <v>0</v>
      </c>
      <c r="CZ56" s="360"/>
      <c r="DA56" s="360"/>
      <c r="DB56" s="361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100"/>
      <c r="AM57" s="101"/>
      <c r="AN57" s="101"/>
      <c r="AO57" s="101"/>
      <c r="AP57" s="101"/>
      <c r="AQ57" s="101"/>
      <c r="AR57" s="101"/>
      <c r="AS57" s="101"/>
      <c r="AT57" s="101"/>
      <c r="AU57" s="101"/>
      <c r="AV57" s="102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366">
        <f>DC57</f>
        <v>0</v>
      </c>
      <c r="CZ57" s="367"/>
      <c r="DA57" s="367"/>
      <c r="DB57" s="368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103"/>
      <c r="AM58" s="104"/>
      <c r="AN58" s="104"/>
      <c r="AO58" s="104"/>
      <c r="AP58" s="104"/>
      <c r="AQ58" s="104"/>
      <c r="AR58" s="104"/>
      <c r="AS58" s="104"/>
      <c r="AT58" s="104"/>
      <c r="AU58" s="104"/>
      <c r="AV58" s="105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181"/>
      <c r="K63" s="182"/>
      <c r="L63" s="182"/>
      <c r="M63" s="182"/>
      <c r="N63" s="183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369" t="s">
        <v>41</v>
      </c>
      <c r="CZ63" s="370"/>
      <c r="DA63" s="370"/>
      <c r="DB63" s="370"/>
      <c r="DC63" s="362" t="s">
        <v>42</v>
      </c>
      <c r="DD63" s="362"/>
      <c r="DE63" s="363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371"/>
      <c r="AO66" s="371"/>
      <c r="AP66" s="371"/>
      <c r="AQ66" s="371"/>
      <c r="AR66" s="371"/>
      <c r="AS66" s="371"/>
      <c r="AT66" s="371"/>
      <c r="AU66" s="371"/>
      <c r="AV66" s="372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373"/>
      <c r="BZ66" s="101"/>
      <c r="CA66" s="101"/>
      <c r="CB66" s="101"/>
      <c r="CC66" s="101"/>
      <c r="CD66" s="101"/>
      <c r="CE66" s="101"/>
      <c r="CF66" s="101"/>
      <c r="CG66" s="101"/>
      <c r="CH66" s="101"/>
      <c r="CI66" s="101"/>
      <c r="CJ66" s="102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37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5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359">
        <f>DC67</f>
        <v>0</v>
      </c>
      <c r="CZ67" s="360"/>
      <c r="DA67" s="360"/>
      <c r="DB67" s="361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366">
        <f>DC68</f>
        <v>0</v>
      </c>
      <c r="CZ68" s="367"/>
      <c r="DA68" s="367"/>
      <c r="DB68" s="368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184"/>
      <c r="H72" s="182"/>
      <c r="I72" s="183"/>
      <c r="J72" s="181"/>
      <c r="K72" s="182"/>
      <c r="L72" s="182"/>
      <c r="M72" s="182"/>
      <c r="N72" s="183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100" t="s">
        <v>12</v>
      </c>
      <c r="AG74" s="101"/>
      <c r="AH74" s="101"/>
      <c r="AI74" s="101"/>
      <c r="AJ74" s="101"/>
      <c r="AK74" s="101"/>
      <c r="AL74" s="101"/>
      <c r="AM74" s="101"/>
      <c r="AN74" s="102"/>
      <c r="AO74" s="371"/>
      <c r="AP74" s="371"/>
      <c r="AQ74" s="371"/>
      <c r="AR74" s="371"/>
      <c r="AS74" s="371"/>
      <c r="AT74" s="371"/>
      <c r="AU74" s="371"/>
      <c r="AV74" s="372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103"/>
      <c r="AG75" s="104"/>
      <c r="AH75" s="104"/>
      <c r="AI75" s="104"/>
      <c r="AJ75" s="104"/>
      <c r="AK75" s="104"/>
      <c r="AL75" s="104"/>
      <c r="AM75" s="104"/>
      <c r="AN75" s="105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100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373"/>
      <c r="BZ75" s="101"/>
      <c r="CA75" s="102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103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374"/>
      <c r="BZ76" s="104"/>
      <c r="CA76" s="105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359">
        <f>DC76</f>
        <v>0</v>
      </c>
      <c r="CZ76" s="360"/>
      <c r="DA76" s="360"/>
      <c r="DB76" s="361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366">
        <f>DC77</f>
        <v>0</v>
      </c>
      <c r="CZ77" s="367"/>
      <c r="DA77" s="367"/>
      <c r="DB77" s="368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181"/>
      <c r="K81" s="182"/>
      <c r="L81" s="182"/>
      <c r="M81" s="182"/>
      <c r="N81" s="183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464" t="s">
        <v>44</v>
      </c>
      <c r="CZ81" s="465"/>
      <c r="DA81" s="465"/>
      <c r="DB81" s="465"/>
      <c r="DC81" s="364" t="s">
        <v>42</v>
      </c>
      <c r="DD81" s="364"/>
      <c r="DE81" s="365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463"/>
      <c r="AP85" s="371"/>
      <c r="AQ85" s="371"/>
      <c r="AR85" s="371"/>
      <c r="AS85" s="371"/>
      <c r="AT85" s="371"/>
      <c r="AU85" s="371"/>
      <c r="AV85" s="372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359">
        <f>DC85</f>
        <v>0</v>
      </c>
      <c r="CZ85" s="360"/>
      <c r="DA85" s="360"/>
      <c r="DB85" s="361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366">
        <f>DC86</f>
        <v>0</v>
      </c>
      <c r="CZ86" s="367"/>
      <c r="DA86" s="367"/>
      <c r="DB86" s="368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32"/>
      <c r="C90" s="33"/>
      <c r="D90" s="33"/>
      <c r="E90" s="33"/>
      <c r="F90" s="33"/>
      <c r="G90" s="33"/>
      <c r="H90" s="33"/>
      <c r="I90" s="33"/>
      <c r="J90" s="460"/>
      <c r="K90" s="461"/>
      <c r="L90" s="461"/>
      <c r="M90" s="461"/>
      <c r="N90" s="461"/>
      <c r="O90" s="461"/>
      <c r="P90" s="462"/>
      <c r="Q90" s="33"/>
      <c r="R90" s="33"/>
      <c r="S90" s="33"/>
      <c r="T90" s="181"/>
      <c r="U90" s="182"/>
      <c r="V90" s="182"/>
      <c r="W90" s="182"/>
      <c r="X90" s="182"/>
      <c r="Y90" s="182"/>
      <c r="Z90" s="470"/>
      <c r="AA90" s="184"/>
      <c r="AB90" s="182"/>
      <c r="AC90" s="182"/>
      <c r="AD90" s="182"/>
      <c r="AE90" s="182"/>
      <c r="AF90" s="182"/>
      <c r="AG90" s="182"/>
      <c r="AH90" s="182"/>
      <c r="AI90" s="182"/>
      <c r="AJ90" s="182"/>
      <c r="AK90" s="18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35"/>
      <c r="C91" s="36"/>
      <c r="D91" s="36"/>
      <c r="E91" s="36"/>
      <c r="F91" s="36"/>
      <c r="G91" s="36"/>
      <c r="H91" s="36"/>
      <c r="I91" s="36"/>
      <c r="J91" s="103"/>
      <c r="K91" s="104"/>
      <c r="L91" s="104"/>
      <c r="M91" s="104"/>
      <c r="N91" s="104"/>
      <c r="O91" s="104"/>
      <c r="P91" s="105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100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2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100"/>
      <c r="BI93" s="101"/>
      <c r="BJ93" s="101"/>
      <c r="BK93" s="101"/>
      <c r="BL93" s="101"/>
      <c r="BM93" s="101"/>
      <c r="BN93" s="101"/>
      <c r="BO93" s="101"/>
      <c r="BP93" s="101"/>
      <c r="BQ93" s="101"/>
      <c r="BR93" s="101"/>
      <c r="BS93" s="102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178"/>
      <c r="AD94" s="179"/>
      <c r="AE94" s="179"/>
      <c r="AF94" s="179"/>
      <c r="AG94" s="179"/>
      <c r="AH94" s="179"/>
      <c r="AI94" s="179"/>
      <c r="AJ94" s="179"/>
      <c r="AK94" s="179"/>
      <c r="AL94" s="179"/>
      <c r="AM94" s="179"/>
      <c r="AN94" s="180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178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80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359">
        <f>DC94</f>
        <v>0</v>
      </c>
      <c r="CZ94" s="360"/>
      <c r="DA94" s="360"/>
      <c r="DB94" s="361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103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5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103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5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366">
        <f>DC95</f>
        <v>0</v>
      </c>
      <c r="CZ95" s="367"/>
      <c r="DA95" s="367"/>
      <c r="DB95" s="368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100"/>
      <c r="Z100" s="200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69"/>
      <c r="W101" s="467"/>
      <c r="X101" s="468"/>
      <c r="Y101" s="201"/>
      <c r="Z101" s="202"/>
      <c r="AA101" s="466"/>
      <c r="AB101" s="467"/>
      <c r="AC101" s="467"/>
      <c r="AD101" s="467"/>
      <c r="AE101" s="467"/>
      <c r="AF101" s="467"/>
      <c r="AG101" s="467"/>
      <c r="AH101" s="467"/>
      <c r="AI101" s="468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359">
        <f>DC104</f>
        <v>0</v>
      </c>
      <c r="CZ104" s="360"/>
      <c r="DA104" s="360"/>
      <c r="DB104" s="361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366">
        <f>DC105</f>
        <v>0</v>
      </c>
      <c r="CZ105" s="367"/>
      <c r="DA105" s="367"/>
      <c r="DB105" s="368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100"/>
      <c r="AI106" s="101"/>
      <c r="AJ106" s="101"/>
      <c r="AK106" s="101"/>
      <c r="AL106" s="101"/>
      <c r="AM106" s="101"/>
      <c r="AN106" s="101"/>
      <c r="AO106" s="101"/>
      <c r="AP106" s="101"/>
      <c r="AQ106" s="101"/>
      <c r="AR106" s="102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100"/>
      <c r="BJ106" s="101"/>
      <c r="BK106" s="101"/>
      <c r="BL106" s="101"/>
      <c r="BM106" s="101"/>
      <c r="BN106" s="101"/>
      <c r="BO106" s="101"/>
      <c r="BP106" s="101"/>
      <c r="BQ106" s="101"/>
      <c r="BR106" s="101"/>
      <c r="BS106" s="102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103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5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103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5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359">
        <f>DC113</f>
        <v>0</v>
      </c>
      <c r="CZ113" s="360"/>
      <c r="DA113" s="360"/>
      <c r="DB113" s="361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366">
        <f>DC114</f>
        <v>0</v>
      </c>
      <c r="CZ114" s="367"/>
      <c r="DA114" s="367"/>
      <c r="DB114" s="368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359">
        <f>DC122</f>
        <v>0</v>
      </c>
      <c r="CZ122" s="360"/>
      <c r="DA122" s="360"/>
      <c r="DB122" s="361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366">
        <f>DC123</f>
        <v>0</v>
      </c>
      <c r="CZ123" s="367"/>
      <c r="DA123" s="367"/>
      <c r="DB123" s="368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359">
        <f>DC131</f>
        <v>0</v>
      </c>
      <c r="CZ131" s="360"/>
      <c r="DA131" s="360"/>
      <c r="DB131" s="361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366">
        <f>DC132</f>
        <v>0</v>
      </c>
      <c r="CZ132" s="367"/>
      <c r="DA132" s="367"/>
      <c r="DB132" s="368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166" t="s">
        <v>56</v>
      </c>
      <c r="CU137" s="167"/>
      <c r="CV137" s="167"/>
      <c r="CW137" s="167"/>
      <c r="CX137" s="167"/>
      <c r="CY137" s="167"/>
      <c r="CZ137" s="167"/>
      <c r="DA137" s="167"/>
      <c r="DB137" s="168"/>
    </row>
    <row r="138" spans="5:107" ht="20.100000000000001" customHeight="1" thickTop="1" thickBot="1">
      <c r="CR138" s="2"/>
      <c r="CT138" s="157">
        <f>SUM(K140,AM140,BL140,CG140)</f>
        <v>425</v>
      </c>
      <c r="CU138" s="158"/>
      <c r="CV138" s="158"/>
      <c r="CW138" s="158"/>
      <c r="CX138" s="158"/>
      <c r="CY138" s="158"/>
      <c r="CZ138" s="158"/>
      <c r="DA138" s="158"/>
      <c r="DB138" s="159"/>
    </row>
    <row r="139" spans="5:107" ht="20.100000000000001" customHeight="1" thickTop="1" thickBot="1">
      <c r="K139" s="169" t="s">
        <v>36</v>
      </c>
      <c r="L139" s="170"/>
      <c r="M139" s="170"/>
      <c r="N139" s="170"/>
      <c r="O139" s="171"/>
      <c r="AM139" s="169" t="s">
        <v>54</v>
      </c>
      <c r="AN139" s="170"/>
      <c r="AO139" s="170"/>
      <c r="AP139" s="170"/>
      <c r="AQ139" s="171"/>
      <c r="BL139" s="169" t="s">
        <v>39</v>
      </c>
      <c r="BM139" s="170"/>
      <c r="BN139" s="170"/>
      <c r="BO139" s="170"/>
      <c r="BP139" s="171"/>
      <c r="CG139" s="169" t="s">
        <v>55</v>
      </c>
      <c r="CH139" s="170"/>
      <c r="CI139" s="170"/>
      <c r="CJ139" s="170"/>
      <c r="CK139" s="171"/>
      <c r="CR139" s="5"/>
      <c r="CT139" s="160">
        <f>SUM(K141,AM141,BL141,CG141)</f>
        <v>774.90000000000009</v>
      </c>
      <c r="CU139" s="161"/>
      <c r="CV139" s="161"/>
      <c r="CW139" s="161"/>
      <c r="CX139" s="161"/>
      <c r="CY139" s="161"/>
      <c r="CZ139" s="161"/>
      <c r="DA139" s="161"/>
      <c r="DB139" s="162"/>
    </row>
    <row r="140" spans="5:107" ht="20.100000000000001" customHeight="1" thickTop="1" thickBot="1">
      <c r="K140" s="172">
        <f>P140</f>
        <v>165</v>
      </c>
      <c r="L140" s="173"/>
      <c r="M140" s="173"/>
      <c r="N140" s="173"/>
      <c r="O140" s="174"/>
      <c r="P140" s="29">
        <f t="array" ref="P140:P141">TRANSPOSE(TotalUnitsAndWeightsSum(HOLD4))</f>
        <v>165</v>
      </c>
      <c r="AM140" s="172">
        <f>AR140</f>
        <v>70</v>
      </c>
      <c r="AN140" s="173"/>
      <c r="AO140" s="173"/>
      <c r="AP140" s="173"/>
      <c r="AQ140" s="174"/>
      <c r="AR140" s="29">
        <f t="array" ref="AR140:AR141">TRANSPOSE(TotalUnitsAndWeightsSum(HOLD3))</f>
        <v>70</v>
      </c>
      <c r="BL140" s="172">
        <f>BQ140</f>
        <v>165</v>
      </c>
      <c r="BM140" s="173"/>
      <c r="BN140" s="173"/>
      <c r="BO140" s="173"/>
      <c r="BP140" s="174"/>
      <c r="BQ140" s="29">
        <f t="array" ref="BQ140:BQ141">TRANSPOSE(TotalUnitsAndWeightsSum(HOLD2))</f>
        <v>165</v>
      </c>
      <c r="CG140" s="172">
        <f>CL140</f>
        <v>25</v>
      </c>
      <c r="CH140" s="173"/>
      <c r="CI140" s="173"/>
      <c r="CJ140" s="173"/>
      <c r="CK140" s="174"/>
      <c r="CL140" s="29">
        <f t="array" ref="CL140:CL141">TRANSPOSE(TotalUnitsAndWeightsSum(HOLD1))</f>
        <v>25</v>
      </c>
      <c r="CR140" s="6"/>
      <c r="CT140" s="163">
        <f>CS24</f>
        <v>0</v>
      </c>
      <c r="CU140" s="164"/>
      <c r="CV140" s="164"/>
      <c r="CW140" s="164"/>
      <c r="CX140" s="164"/>
      <c r="CY140" s="164"/>
      <c r="CZ140" s="164"/>
      <c r="DA140" s="164"/>
      <c r="DB140" s="165"/>
    </row>
    <row r="141" spans="5:107" ht="20.100000000000001" customHeight="1" thickTop="1" thickBot="1">
      <c r="E141" s="30"/>
      <c r="F141" s="30"/>
      <c r="G141" s="31"/>
      <c r="H141" s="30"/>
      <c r="K141" s="175">
        <f>P141</f>
        <v>307.50000000000006</v>
      </c>
      <c r="L141" s="176"/>
      <c r="M141" s="176"/>
      <c r="N141" s="176"/>
      <c r="O141" s="177"/>
      <c r="P141" s="29">
        <v>307.50000000000006</v>
      </c>
      <c r="V141" s="30"/>
      <c r="W141" s="30"/>
      <c r="X141" s="30"/>
      <c r="Y141" s="30"/>
      <c r="AM141" s="175">
        <f>AR141</f>
        <v>147.60000000000002</v>
      </c>
      <c r="AN141" s="176"/>
      <c r="AO141" s="176"/>
      <c r="AP141" s="176"/>
      <c r="AQ141" s="177"/>
      <c r="AR141" s="29">
        <v>147.60000000000002</v>
      </c>
      <c r="BL141" s="175">
        <f>BQ141</f>
        <v>307.50000000000006</v>
      </c>
      <c r="BM141" s="176"/>
      <c r="BN141" s="176"/>
      <c r="BO141" s="176"/>
      <c r="BP141" s="177"/>
      <c r="BQ141" s="29">
        <v>307.50000000000006</v>
      </c>
      <c r="CG141" s="175">
        <f>CL141</f>
        <v>12.3</v>
      </c>
      <c r="CH141" s="176"/>
      <c r="CI141" s="176"/>
      <c r="CJ141" s="176"/>
      <c r="CK141" s="177"/>
      <c r="CL141" s="29">
        <v>12.3</v>
      </c>
      <c r="CR141" s="6"/>
      <c r="CT141" s="160">
        <f>CX24</f>
        <v>0</v>
      </c>
      <c r="CU141" s="161"/>
      <c r="CV141" s="161"/>
      <c r="CW141" s="161"/>
      <c r="CX141" s="161"/>
      <c r="CY141" s="161"/>
      <c r="CZ141" s="161"/>
      <c r="DA141" s="161"/>
      <c r="DB141" s="162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</sheetData>
  <mergeCells count="531">
    <mergeCell ref="E41:H41"/>
    <mergeCell ref="E42:H42"/>
    <mergeCell ref="AC40:AF40"/>
    <mergeCell ref="AC41:AF41"/>
    <mergeCell ref="BH43:BK43"/>
    <mergeCell ref="BH44:BK44"/>
    <mergeCell ref="CD41:CG41"/>
    <mergeCell ref="CD42:CG42"/>
    <mergeCell ref="BI48:BL48"/>
    <mergeCell ref="AF32:AI32"/>
    <mergeCell ref="K29:N29"/>
    <mergeCell ref="K30:N30"/>
    <mergeCell ref="O39:R39"/>
    <mergeCell ref="O40:R40"/>
    <mergeCell ref="BO39:BR39"/>
    <mergeCell ref="BO40:BR40"/>
    <mergeCell ref="BE29:BH29"/>
    <mergeCell ref="BE30:BH30"/>
    <mergeCell ref="U31:X31"/>
    <mergeCell ref="U32:X32"/>
    <mergeCell ref="J36:N36"/>
    <mergeCell ref="W21:Y21"/>
    <mergeCell ref="Z21:AB21"/>
    <mergeCell ref="CY38:DB38"/>
    <mergeCell ref="CY39:DB39"/>
    <mergeCell ref="B23:P23"/>
    <mergeCell ref="Q23:S23"/>
    <mergeCell ref="CH30:CK30"/>
    <mergeCell ref="BO21:BS21"/>
    <mergeCell ref="BO22:BS22"/>
    <mergeCell ref="BY23:CC23"/>
    <mergeCell ref="AF21:AH21"/>
    <mergeCell ref="BC26:BX26"/>
    <mergeCell ref="BY26:CW26"/>
    <mergeCell ref="CD23:CH23"/>
    <mergeCell ref="CD21:CH21"/>
    <mergeCell ref="CD22:CH22"/>
    <mergeCell ref="BY21:CC21"/>
    <mergeCell ref="BY22:CC22"/>
    <mergeCell ref="CS21:CW21"/>
    <mergeCell ref="CI24:CM24"/>
    <mergeCell ref="CN24:CR24"/>
    <mergeCell ref="CS24:CW24"/>
    <mergeCell ref="AA26:BB26"/>
    <mergeCell ref="T23:V23"/>
    <mergeCell ref="BY8:CC8"/>
    <mergeCell ref="CD8:CH8"/>
    <mergeCell ref="BT21:BX21"/>
    <mergeCell ref="BT22:BX22"/>
    <mergeCell ref="AC21:AE21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CI21:CM21"/>
    <mergeCell ref="CN21:CR21"/>
    <mergeCell ref="CS22:CW22"/>
    <mergeCell ref="AF14:AH14"/>
    <mergeCell ref="AI14:AK14"/>
    <mergeCell ref="AL14:AN14"/>
    <mergeCell ref="AO14:AQ14"/>
    <mergeCell ref="AR14:AT14"/>
    <mergeCell ref="AC13:AE13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BI49:BL49"/>
    <mergeCell ref="S49:V49"/>
    <mergeCell ref="S50:V5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W23:Y23"/>
    <mergeCell ref="Z23:AB23"/>
    <mergeCell ref="AC23:AE23"/>
    <mergeCell ref="AF23:AH23"/>
    <mergeCell ref="AI23:AK23"/>
    <mergeCell ref="AL23:AN23"/>
    <mergeCell ref="AO23:AQ23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AR13:AT13"/>
    <mergeCell ref="T14:V14"/>
    <mergeCell ref="W14:Y14"/>
    <mergeCell ref="Z14:AB14"/>
    <mergeCell ref="AC14:AE14"/>
    <mergeCell ref="Z13:AB13"/>
    <mergeCell ref="AF13:AH13"/>
    <mergeCell ref="AI13:AK13"/>
    <mergeCell ref="AL13:AN13"/>
    <mergeCell ref="AO13:AQ13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16:AQ16"/>
    <mergeCell ref="AR16:AT16"/>
    <mergeCell ref="W10:Y10"/>
    <mergeCell ref="Z10:AB10"/>
    <mergeCell ref="AC10:AE10"/>
    <mergeCell ref="AF10:AH10"/>
    <mergeCell ref="AI10:AK10"/>
    <mergeCell ref="AL10:AN10"/>
    <mergeCell ref="AO10:AQ10"/>
    <mergeCell ref="Z11:AB11"/>
    <mergeCell ref="AC11:AE11"/>
    <mergeCell ref="AF11:AH11"/>
    <mergeCell ref="AI11:AK11"/>
    <mergeCell ref="AL11:AN11"/>
    <mergeCell ref="AO11:AQ11"/>
    <mergeCell ref="T19:V19"/>
    <mergeCell ref="W19:Y19"/>
    <mergeCell ref="Z19:AB19"/>
    <mergeCell ref="AC19:AE19"/>
    <mergeCell ref="AF19:AH19"/>
    <mergeCell ref="AI19:AK19"/>
    <mergeCell ref="AL19:AN19"/>
    <mergeCell ref="AR11:AT11"/>
    <mergeCell ref="Z9:AB9"/>
    <mergeCell ref="AC9:AE9"/>
    <mergeCell ref="AF9:AH9"/>
    <mergeCell ref="AI9:AK9"/>
    <mergeCell ref="AL9:AN9"/>
    <mergeCell ref="AO9:AQ9"/>
    <mergeCell ref="AR9:AT9"/>
    <mergeCell ref="Z12:AB12"/>
    <mergeCell ref="AC12:AE12"/>
    <mergeCell ref="AF12:AH12"/>
    <mergeCell ref="AI12:AK12"/>
    <mergeCell ref="AL12:AN12"/>
    <mergeCell ref="AO12:AQ12"/>
    <mergeCell ref="AR12:AT12"/>
    <mergeCell ref="AR10:AT10"/>
    <mergeCell ref="T10:V10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W17:Y17"/>
    <mergeCell ref="AF17:AH17"/>
    <mergeCell ref="AI17:AK17"/>
    <mergeCell ref="AL17:AN17"/>
    <mergeCell ref="AO17:AQ17"/>
    <mergeCell ref="AR17:AT17"/>
    <mergeCell ref="Z17:AB17"/>
    <mergeCell ref="AC17:AE17"/>
    <mergeCell ref="Q20:S20"/>
    <mergeCell ref="Q21:S21"/>
    <mergeCell ref="Q22:S22"/>
    <mergeCell ref="T9:V9"/>
    <mergeCell ref="W9:Y9"/>
    <mergeCell ref="T12:V12"/>
    <mergeCell ref="W12:Y12"/>
    <mergeCell ref="T11:V11"/>
    <mergeCell ref="W11:Y11"/>
    <mergeCell ref="T18:V18"/>
    <mergeCell ref="W18:Y18"/>
    <mergeCell ref="T13:V13"/>
    <mergeCell ref="W13:Y13"/>
    <mergeCell ref="T20:V20"/>
    <mergeCell ref="W20:Y20"/>
    <mergeCell ref="T22:V22"/>
    <mergeCell ref="W22:Y22"/>
    <mergeCell ref="Q15:S15"/>
    <mergeCell ref="T21:V21"/>
    <mergeCell ref="Q9:S9"/>
    <mergeCell ref="Q19:S19"/>
    <mergeCell ref="Q12:S12"/>
    <mergeCell ref="T17:V17"/>
    <mergeCell ref="T15:V15"/>
    <mergeCell ref="AL2:BM3"/>
    <mergeCell ref="BE7:BI7"/>
    <mergeCell ref="BJ7:BN7"/>
    <mergeCell ref="Q17:S17"/>
    <mergeCell ref="Q11:S11"/>
    <mergeCell ref="Q10:S10"/>
    <mergeCell ref="Q18:S18"/>
    <mergeCell ref="B21:M21"/>
    <mergeCell ref="B22:M22"/>
    <mergeCell ref="N13:P13"/>
    <mergeCell ref="N14:P14"/>
    <mergeCell ref="N20:P20"/>
    <mergeCell ref="N21:P21"/>
    <mergeCell ref="N22:P22"/>
    <mergeCell ref="B12:M12"/>
    <mergeCell ref="B17:M17"/>
    <mergeCell ref="B11:M11"/>
    <mergeCell ref="B10:M10"/>
    <mergeCell ref="B18:M18"/>
    <mergeCell ref="B16:M16"/>
    <mergeCell ref="B13:M13"/>
    <mergeCell ref="B14:M14"/>
    <mergeCell ref="B20:M20"/>
    <mergeCell ref="Q16:S16"/>
    <mergeCell ref="CY29:DB2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BL30:BO30"/>
    <mergeCell ref="BL31:BO31"/>
    <mergeCell ref="AF31:AI31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3:BD13"/>
    <mergeCell ref="AZ14:BD14"/>
    <mergeCell ref="N9:P9"/>
    <mergeCell ref="N19:P19"/>
    <mergeCell ref="N12:P12"/>
    <mergeCell ref="N17:P17"/>
    <mergeCell ref="N11:P11"/>
    <mergeCell ref="N10:P10"/>
    <mergeCell ref="N18:P18"/>
    <mergeCell ref="N16:P16"/>
    <mergeCell ref="N15:P15"/>
    <mergeCell ref="Q13:S13"/>
    <mergeCell ref="Q14:S14"/>
    <mergeCell ref="AO19:AQ19"/>
    <mergeCell ref="AR19:AT19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AZ20:BD20"/>
    <mergeCell ref="AZ15:BD15"/>
    <mergeCell ref="AZ9:BD9"/>
    <mergeCell ref="AZ19:BD19"/>
    <mergeCell ref="AZ12:BD12"/>
    <mergeCell ref="AZ17:BD17"/>
    <mergeCell ref="AZ11:BD11"/>
    <mergeCell ref="BE13:BI13"/>
    <mergeCell ref="BE14:BI14"/>
    <mergeCell ref="BE20:BI20"/>
    <mergeCell ref="AZ10:BD10"/>
    <mergeCell ref="AZ18:BD18"/>
    <mergeCell ref="AZ16:BD16"/>
    <mergeCell ref="BJ21:BN21"/>
    <mergeCell ref="BJ22:BN22"/>
    <mergeCell ref="BE16:BI16"/>
    <mergeCell ref="BE9:BI9"/>
    <mergeCell ref="BE19:BI19"/>
    <mergeCell ref="BE12:BI12"/>
    <mergeCell ref="BJ9:BN9"/>
    <mergeCell ref="BJ19:BN19"/>
    <mergeCell ref="BJ12:BN12"/>
    <mergeCell ref="BE15:BI15"/>
    <mergeCell ref="BJ15:BN15"/>
    <mergeCell ref="BE17:BI17"/>
    <mergeCell ref="BE11:BI11"/>
    <mergeCell ref="BE10:BI10"/>
    <mergeCell ref="BE18:BI18"/>
    <mergeCell ref="BJ17:BN17"/>
    <mergeCell ref="BJ11:BN11"/>
    <mergeCell ref="BJ10:BN10"/>
    <mergeCell ref="BE21:BI21"/>
    <mergeCell ref="BE22:BI22"/>
    <mergeCell ref="BO10:BS10"/>
    <mergeCell ref="BO18:BS18"/>
    <mergeCell ref="BO15:BS15"/>
    <mergeCell ref="BT15:BX15"/>
    <mergeCell ref="BO9:BS9"/>
    <mergeCell ref="BO19:BS19"/>
    <mergeCell ref="BO12:BS12"/>
    <mergeCell ref="BO17:BS17"/>
    <mergeCell ref="BO11:BS11"/>
    <mergeCell ref="BT9:BX9"/>
    <mergeCell ref="BT19:BX19"/>
    <mergeCell ref="BT12:BX12"/>
    <mergeCell ref="BT17:BX17"/>
    <mergeCell ref="BT11:BX11"/>
    <mergeCell ref="BT10:BX10"/>
    <mergeCell ref="BT18:BX18"/>
    <mergeCell ref="BY10:CC10"/>
    <mergeCell ref="BY18:CC18"/>
    <mergeCell ref="BY19:CC19"/>
    <mergeCell ref="BY15:CC15"/>
    <mergeCell ref="BY12:CC12"/>
    <mergeCell ref="BY17:CC17"/>
    <mergeCell ref="BY11:CC11"/>
    <mergeCell ref="BY16:CC16"/>
    <mergeCell ref="BY13:CC13"/>
    <mergeCell ref="BY14:CC14"/>
    <mergeCell ref="CD20:CH20"/>
    <mergeCell ref="CD16:CH16"/>
    <mergeCell ref="CD15:CH15"/>
    <mergeCell ref="CX20:DB20"/>
    <mergeCell ref="CX11:DB11"/>
    <mergeCell ref="CS10:CW10"/>
    <mergeCell ref="CX10:DB10"/>
    <mergeCell ref="CD3:CF3"/>
    <mergeCell ref="CI9:CM9"/>
    <mergeCell ref="CN9:CR9"/>
    <mergeCell ref="CS16:CW16"/>
    <mergeCell ref="CD19:CH19"/>
    <mergeCell ref="CD12:CH12"/>
    <mergeCell ref="CD17:CH17"/>
    <mergeCell ref="CD11:CH11"/>
    <mergeCell ref="CD10:CH10"/>
    <mergeCell ref="CD18:CH18"/>
    <mergeCell ref="CD9:CH9"/>
    <mergeCell ref="CD13:CH13"/>
    <mergeCell ref="CD14:CH14"/>
    <mergeCell ref="CS12:CW12"/>
    <mergeCell ref="CI17:CM17"/>
    <mergeCell ref="CN17:CR17"/>
    <mergeCell ref="CI11:CM11"/>
    <mergeCell ref="CI19:CM19"/>
    <mergeCell ref="CN19:CR19"/>
    <mergeCell ref="CI16:CM16"/>
    <mergeCell ref="CN16:CR16"/>
    <mergeCell ref="CS20:CW20"/>
    <mergeCell ref="CX21:DB21"/>
    <mergeCell ref="CI20:CM20"/>
    <mergeCell ref="CN20:CR20"/>
    <mergeCell ref="CS15:CW15"/>
    <mergeCell ref="CX15:DB15"/>
    <mergeCell ref="CI18:CM18"/>
    <mergeCell ref="CN18:CR18"/>
    <mergeCell ref="CX19:DB19"/>
    <mergeCell ref="CI15:CM15"/>
    <mergeCell ref="CN15:CR15"/>
    <mergeCell ref="CS19:CW19"/>
    <mergeCell ref="CS14:CW14"/>
    <mergeCell ref="CX14:DB14"/>
    <mergeCell ref="CS9:CW9"/>
    <mergeCell ref="CX9:DB9"/>
    <mergeCell ref="CI13:CM13"/>
    <mergeCell ref="CN13:CR13"/>
    <mergeCell ref="CI14:CM14"/>
    <mergeCell ref="CN14:CR14"/>
    <mergeCell ref="CI10:CM10"/>
    <mergeCell ref="CN10:CR10"/>
    <mergeCell ref="CN11:CR1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0:AY10"/>
    <mergeCell ref="AU18:AY18"/>
    <mergeCell ref="AU16:AY16"/>
    <mergeCell ref="AU13:AY13"/>
    <mergeCell ref="Y100:Z101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BU2:BY2"/>
    <mergeCell ref="AU14:AY14"/>
    <mergeCell ref="AU20:AY20"/>
    <mergeCell ref="AU15:AY15"/>
    <mergeCell ref="AU9:AY9"/>
    <mergeCell ref="AU19:AY19"/>
    <mergeCell ref="AU12:AY12"/>
    <mergeCell ref="AU17:AY17"/>
    <mergeCell ref="AU11:AY11"/>
    <mergeCell ref="BY20:CC20"/>
    <mergeCell ref="BJ18:BN18"/>
    <mergeCell ref="BJ16:BN16"/>
    <mergeCell ref="BJ13:BN13"/>
    <mergeCell ref="BT13:BX13"/>
    <mergeCell ref="BT14:BX14"/>
    <mergeCell ref="BT20:BX20"/>
    <mergeCell ref="BT16:BX16"/>
    <mergeCell ref="BO16:BS16"/>
    <mergeCell ref="BO13:BS13"/>
    <mergeCell ref="BO14:BS14"/>
    <mergeCell ref="BO20:BS20"/>
    <mergeCell ref="BJ14:BN14"/>
    <mergeCell ref="BJ20:BN20"/>
    <mergeCell ref="BY9:CC9"/>
    <mergeCell ref="AP24:AT24"/>
    <mergeCell ref="CX24:DB24"/>
    <mergeCell ref="CI23:DB23"/>
    <mergeCell ref="CI6:CR6"/>
    <mergeCell ref="CS6:DB6"/>
    <mergeCell ref="CS18:CW18"/>
    <mergeCell ref="CX18:DB18"/>
    <mergeCell ref="AH106:AR107"/>
    <mergeCell ref="BU3:CB3"/>
    <mergeCell ref="CX22:DB22"/>
    <mergeCell ref="CI22:CM22"/>
    <mergeCell ref="CN22:CR22"/>
    <mergeCell ref="CS17:CW17"/>
    <mergeCell ref="CX17:DB17"/>
    <mergeCell ref="CI8:CM8"/>
    <mergeCell ref="CN8:CR8"/>
    <mergeCell ref="CS8:CW8"/>
    <mergeCell ref="CX12:DB12"/>
    <mergeCell ref="CI12:CM12"/>
    <mergeCell ref="CN12:CR12"/>
    <mergeCell ref="CS11:CW11"/>
    <mergeCell ref="CX16:DB16"/>
    <mergeCell ref="CS13:CW13"/>
    <mergeCell ref="CX13:DB13"/>
  </mergeCells>
  <pageMargins left="0.08" right="0.01" top="0.05" bottom="0.08" header="0.03" footer="0.1"/>
  <pageSetup paperSize="8" scale="46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s" size="large" onAction="CargoPlan.UnloadSelectedPorts" imageMso="AddInsMenu"/>
          <button id="PreArrivalButton" label="Pre-Arrival" size="large" onAction="CargoPlan.PreArrivalPort" imageMso="DataSubmitToOfficeServer"/>
        </group>
        <group id="DrawingPlanGroup" label="Drawings">
          <button id="AddCargoTextBox" label="Cargo Text Box" size="large" onAction="CargoBox.AddCargoTextBox" imageMso="TextBoxWordClassic"/>
        </group>
        <group id="PortsArrangementGroup" label="Ports Arrangement">
          <button id="MoveRowUpButton" label="Move Row Up" size="normal" onAction="TableArrangement.MoveTableRowUp" imageMso="ShapeUpArrow"/>
          <button id="MoveRowDownButton" label="Move Row Down" size="normal" onAction="TableArrangement.MoveTableRowDown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2020-10-10T08:21:31Z</cp:lastPrinted>
  <dcterms:created xsi:type="dcterms:W3CDTF">2015-10-05T22:40:48Z</dcterms:created>
  <dcterms:modified xsi:type="dcterms:W3CDTF">2020-10-10T09:16:46Z</dcterms:modified>
</cp:coreProperties>
</file>