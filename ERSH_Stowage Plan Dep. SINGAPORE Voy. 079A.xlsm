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owage-plan\"/>
    </mc:Choice>
  </mc:AlternateContent>
  <bookViews>
    <workbookView xWindow="-120" yWindow="-120" windowWidth="29040" windowHeight="15840"/>
  </bookViews>
  <sheets>
    <sheet name="StowagePlan" sheetId="53" r:id="rId1"/>
  </sheets>
  <functionGroups builtInGroupCount="18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StowagePlan!$AU$9:$CH$22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StowagePlan!$Q$9:$AT$22</definedName>
    <definedName name="LOWER_DECK">StowagePlan!$AA$102:$CP$137</definedName>
    <definedName name="PortsList">StowagePlan!$B$9:$M$22</definedName>
    <definedName name="PP호" hidden="1">{"'Hatch06'!$AI$25","'Hatch06'!$A$1:$BD$38"}</definedName>
    <definedName name="_xlnm.Print_Area" localSheetId="0">StowagePlan!$A$1:$DE$143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사랑" hidden="1">{"'Hatch06'!$AI$25","'Hatch06'!$A$1:$BD$38"}</definedName>
  </definedNames>
  <calcPr calcId="162913"/>
  <fileRecoveryPr autoRecover="0"/>
</workbook>
</file>

<file path=xl/calcChain.xml><?xml version="1.0" encoding="utf-8"?>
<calcChain xmlns="http://schemas.openxmlformats.org/spreadsheetml/2006/main">
  <c r="L68" i="53" l="1"/>
  <c r="I68" i="53"/>
  <c r="AE43" i="53"/>
  <c r="AH43" i="53"/>
  <c r="CI8" i="53" l="1"/>
  <c r="CN8" i="53"/>
  <c r="CN17" i="53" l="1"/>
  <c r="CN9" i="53"/>
  <c r="CN20" i="53"/>
  <c r="CN15" i="53"/>
  <c r="CN19" i="53"/>
  <c r="CN14" i="53"/>
  <c r="CN12" i="53"/>
  <c r="CN10" i="53"/>
  <c r="CN18" i="53"/>
  <c r="CN11" i="53"/>
  <c r="CN16" i="53"/>
  <c r="CN21" i="53"/>
  <c r="CN22" i="53"/>
  <c r="CN13" i="53"/>
  <c r="CI17" i="53"/>
  <c r="CI9" i="53"/>
  <c r="CI20" i="53"/>
  <c r="CI15" i="53"/>
  <c r="CI19" i="53"/>
  <c r="CI14" i="53"/>
  <c r="CI12" i="53"/>
  <c r="CI10" i="53"/>
  <c r="CI18" i="53"/>
  <c r="CI11" i="53"/>
  <c r="CI16" i="53"/>
  <c r="CI21" i="53"/>
  <c r="CI22" i="53"/>
  <c r="CI13" i="53"/>
  <c r="DC47" i="53" a="1"/>
  <c r="DC29" i="53" a="1"/>
  <c r="DC131" i="53" a="1"/>
  <c r="DC85" i="53" a="1"/>
  <c r="DC113" i="53" a="1"/>
  <c r="DC76" i="53" a="1"/>
  <c r="DC94" i="53" a="1"/>
  <c r="DC56" i="53" a="1"/>
  <c r="DC122" i="53" a="1"/>
  <c r="DC104" i="53" a="1"/>
  <c r="DC67" i="53" a="1"/>
  <c r="DC38" i="53" a="1"/>
  <c r="CI24" i="53" l="1"/>
  <c r="CN24" i="53"/>
  <c r="DC48" i="53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BQ140" i="53" a="1"/>
  <c r="P140" i="53" a="1"/>
  <c r="AR140" i="53" a="1"/>
  <c r="CL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AP24" i="53" l="1"/>
  <c r="CT139" i="53"/>
  <c r="CT138" i="53"/>
  <c r="CY29" i="53"/>
  <c r="CY30" i="53"/>
</calcChain>
</file>

<file path=xl/sharedStrings.xml><?xml version="1.0" encoding="utf-8"?>
<sst xmlns="http://schemas.openxmlformats.org/spreadsheetml/2006/main" count="160" uniqueCount="100">
  <si>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</si>
  <si>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</si>
  <si>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</si>
  <si>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</si>
  <si>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</si>
  <si>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</si>
  <si>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</si>
  <si>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</si>
  <si>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</si>
  <si>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</si>
  <si>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</si>
  <si>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</si>
  <si>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</si>
  <si>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</si>
  <si>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</si>
  <si>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</si>
  <si>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</si>
  <si>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</si>
  <si>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</si>
  <si>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</si>
  <si>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</si>
  <si>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</si>
  <si>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</si>
  <si>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</si>
  <si>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</si>
  <si>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</si>
  <si>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</si>
  <si>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</si>
  <si>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</si>
  <si>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</si>
  <si>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</si>
  <si>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</si>
  <si>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</si>
  <si>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</si>
  <si>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</si>
  <si>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</si>
  <si>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</si>
  <si>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</si>
  <si>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</si>
  <si>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</si>
  <si>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</si>
  <si>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</si>
  <si>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</si>
  <si>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</si>
  <si>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</si>
  <si>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</si>
  <si>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</si>
  <si>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</si>
  <si>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</si>
  <si>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</si>
  <si>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</si>
  <si>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</si>
  <si>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</si>
  <si>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</si>
  <si>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</si>
  <si>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</si>
  <si>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</si>
  <si>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</si>
  <si>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SOHAR</t>
  </si>
  <si>
    <t>YDA</t>
  </si>
  <si>
    <t>MNX</t>
  </si>
  <si>
    <t>HIJ</t>
  </si>
  <si>
    <t>XSH</t>
  </si>
  <si>
    <t>SIN</t>
  </si>
  <si>
    <t>SOH</t>
  </si>
  <si>
    <t>JEBEL ALI</t>
  </si>
  <si>
    <t>ABU DHABI</t>
  </si>
  <si>
    <t>HAMAD</t>
  </si>
  <si>
    <t>BAHRAIN</t>
  </si>
  <si>
    <t>DAMMAM</t>
  </si>
  <si>
    <t>KUWAIT</t>
  </si>
  <si>
    <t>JEA</t>
  </si>
  <si>
    <t>AUH</t>
  </si>
  <si>
    <t>HMD</t>
  </si>
  <si>
    <t>KBS</t>
  </si>
  <si>
    <t>DMN</t>
  </si>
  <si>
    <t>KWI</t>
  </si>
  <si>
    <t>DMN / YDA</t>
  </si>
  <si>
    <t>DMN / MNX</t>
  </si>
  <si>
    <t>SINGAPORE</t>
  </si>
  <si>
    <t>DMN / HIJ</t>
  </si>
  <si>
    <t>KWI / HIJ</t>
  </si>
  <si>
    <t>HJI</t>
  </si>
  <si>
    <t>DMN /</t>
  </si>
  <si>
    <t>JEA / MNX, HIJ, XSH, SIN</t>
  </si>
  <si>
    <t>DMN / SIN</t>
  </si>
  <si>
    <t>JEA / XSH</t>
  </si>
  <si>
    <t>JEA / MNX</t>
  </si>
  <si>
    <t>HMD / MNX, HIJ</t>
  </si>
  <si>
    <t>DMN / XSH</t>
  </si>
  <si>
    <t>JEA /</t>
  </si>
  <si>
    <t>KBS / MNX, HIJ, SIN</t>
  </si>
  <si>
    <t>HMD / SIN</t>
  </si>
  <si>
    <t>KWI / XSH</t>
  </si>
  <si>
    <t>JEA / SIN</t>
  </si>
  <si>
    <t>SOH / SIN</t>
  </si>
  <si>
    <t>AUH / XSH</t>
  </si>
  <si>
    <t>JEA / YDA</t>
  </si>
  <si>
    <t>HMD / YDA</t>
  </si>
  <si>
    <t>SOH / YDA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</si>
</sst>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0&quot;U/s&quot;"/>
    <numFmt numFmtId="170" formatCode="0.0&quot;kt&quot;"/>
    <numFmt numFmtId="171" formatCode="[$-409]dd\ mmm\ yyyy;@"/>
  </numFmts>
  <fonts count="26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sz val="12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641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0" fontId="8" fillId="12" borderId="34" xfId="0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9" fillId="12" borderId="34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168" fontId="9" fillId="12" borderId="34" xfId="0" applyNumberFormat="1" applyFont="1" applyFill="1" applyBorder="1" applyAlignment="1">
      <alignment horizontal="center" vertical="center"/>
    </xf>
    <xf numFmtId="168" fontId="9" fillId="12" borderId="56" xfId="0" applyNumberFormat="1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9" fillId="12" borderId="55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6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8" fillId="5" borderId="95" xfId="0" applyFont="1" applyFill="1" applyBorder="1" applyAlignment="1">
      <alignment horizontal="center" vertical="center"/>
    </xf>
    <xf numFmtId="0" fontId="8" fillId="5" borderId="96" xfId="0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/>
    </xf>
    <xf numFmtId="0" fontId="9" fillId="12" borderId="88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9" fillId="12" borderId="10" xfId="0" applyFont="1" applyFill="1" applyBorder="1" applyAlignment="1">
      <alignment horizontal="center" vertical="center"/>
    </xf>
    <xf numFmtId="168" fontId="9" fillId="12" borderId="8" xfId="0" applyNumberFormat="1" applyFont="1" applyFill="1" applyBorder="1" applyAlignment="1">
      <alignment horizontal="center" vertical="center"/>
    </xf>
    <xf numFmtId="168" fontId="9" fillId="12" borderId="9" xfId="0" applyNumberFormat="1" applyFont="1" applyFill="1" applyBorder="1" applyAlignment="1">
      <alignment horizontal="center" vertical="center"/>
    </xf>
    <xf numFmtId="168" fontId="9" fillId="12" borderId="89" xfId="0" applyNumberFormat="1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91" xfId="0" applyFont="1" applyFill="1" applyBorder="1" applyAlignment="1">
      <alignment horizontal="center" vertical="center"/>
    </xf>
    <xf numFmtId="0" fontId="8" fillId="5" borderId="92" xfId="0" applyFont="1" applyFill="1" applyBorder="1" applyAlignment="1">
      <alignment horizontal="center" vertical="center"/>
    </xf>
    <xf numFmtId="0" fontId="8" fillId="5" borderId="93" xfId="0" applyFont="1" applyFill="1" applyBorder="1" applyAlignment="1">
      <alignment horizontal="center" vertical="center"/>
    </xf>
    <xf numFmtId="0" fontId="8" fillId="5" borderId="94" xfId="0" applyFont="1" applyFill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16" borderId="17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2" borderId="55" xfId="0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8" fillId="10" borderId="51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89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8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9" fillId="0" borderId="64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9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0" fontId="9" fillId="9" borderId="56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2" borderId="56" xfId="0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17" borderId="51" xfId="0" applyFont="1" applyFill="1" applyBorder="1" applyAlignment="1">
      <alignment horizontal="center" vertical="center"/>
    </xf>
    <xf numFmtId="0" fontId="9" fillId="17" borderId="36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8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168" fontId="9" fillId="9" borderId="8" xfId="0" applyNumberFormat="1" applyFont="1" applyFill="1" applyBorder="1" applyAlignment="1">
      <alignment horizontal="center" vertical="center"/>
    </xf>
    <xf numFmtId="168" fontId="9" fillId="9" borderId="9" xfId="0" applyNumberFormat="1" applyFont="1" applyFill="1" applyBorder="1" applyAlignment="1">
      <alignment horizontal="center" vertical="center"/>
    </xf>
    <xf numFmtId="168" fontId="9" fillId="9" borderId="89" xfId="0" applyNumberFormat="1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9" fillId="7" borderId="51" xfId="0" applyFont="1" applyFill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15" fillId="14" borderId="29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18" borderId="36" xfId="0" applyFont="1" applyFill="1" applyBorder="1" applyAlignment="1">
      <alignment horizontal="center" vertical="center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5" borderId="8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168" fontId="9" fillId="5" borderId="8" xfId="0" applyNumberFormat="1" applyFont="1" applyFill="1" applyBorder="1" applyAlignment="1">
      <alignment horizontal="center" vertical="center"/>
    </xf>
    <xf numFmtId="168" fontId="9" fillId="5" borderId="9" xfId="0" applyNumberFormat="1" applyFont="1" applyFill="1" applyBorder="1" applyAlignment="1">
      <alignment horizontal="center" vertical="center"/>
    </xf>
    <xf numFmtId="168" fontId="9" fillId="5" borderId="89" xfId="0" applyNumberFormat="1" applyFont="1" applyFill="1" applyBorder="1" applyAlignment="1">
      <alignment horizontal="center" vertical="center"/>
    </xf>
    <xf numFmtId="0" fontId="15" fillId="18" borderId="7" xfId="0" applyNumberFormat="1" applyFont="1" applyFill="1" applyBorder="1" applyAlignment="1">
      <alignment horizontal="center" vertical="center"/>
    </xf>
    <xf numFmtId="0" fontId="15" fillId="18" borderId="4" xfId="0" applyNumberFormat="1" applyFont="1" applyFill="1" applyBorder="1" applyAlignment="1">
      <alignment horizontal="center" vertical="center"/>
    </xf>
    <xf numFmtId="0" fontId="15" fillId="18" borderId="5" xfId="0" applyNumberFormat="1" applyFont="1" applyFill="1" applyBorder="1" applyAlignment="1">
      <alignment horizontal="center" vertical="center"/>
    </xf>
    <xf numFmtId="0" fontId="15" fillId="18" borderId="1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Alignment="1">
      <alignment horizontal="center" vertical="center"/>
    </xf>
    <xf numFmtId="0" fontId="15" fillId="18" borderId="2" xfId="0" applyNumberFormat="1" applyFont="1" applyFill="1" applyBorder="1" applyAlignment="1">
      <alignment horizontal="center" vertical="center"/>
    </xf>
    <xf numFmtId="171" fontId="8" fillId="0" borderId="0" xfId="0" applyNumberFormat="1" applyFont="1" applyFill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9" fillId="18" borderId="0" xfId="0" applyNumberFormat="1" applyFont="1" applyFill="1" applyBorder="1" applyAlignment="1">
      <alignment horizontal="center" vertical="center"/>
    </xf>
    <xf numFmtId="0" fontId="19" fillId="18" borderId="0" xfId="0" applyNumberFormat="1" applyFont="1" applyFill="1" applyBorder="1" applyAlignment="1">
      <alignment horizontal="center" vertical="center"/>
    </xf>
    <xf numFmtId="169" fontId="25" fillId="18" borderId="0" xfId="0" applyNumberFormat="1" applyFont="1" applyFill="1" applyBorder="1" applyAlignment="1">
      <alignment horizontal="center" vertical="center"/>
    </xf>
    <xf numFmtId="0" fontId="25" fillId="18" borderId="0" xfId="0" applyNumberFormat="1" applyFont="1" applyFill="1" applyBorder="1" applyAlignment="1">
      <alignment horizontal="center" vertical="center"/>
    </xf>
    <xf numFmtId="170" fontId="25" fillId="18" borderId="0" xfId="0" applyNumberFormat="1" applyFont="1" applyFill="1" applyBorder="1" applyAlignment="1">
      <alignment horizontal="center" vertical="center"/>
    </xf>
    <xf numFmtId="0" fontId="25" fillId="18" borderId="0" xfId="0" applyNumberFormat="1" applyFont="1" applyFill="1" applyBorder="1" applyAlignment="1">
      <alignment vertical="center"/>
    </xf>
    <xf numFmtId="0" fontId="25" fillId="18" borderId="0" xfId="0" applyNumberFormat="1" applyFont="1" applyFill="1" applyBorder="1" applyAlignment="1">
      <alignment horizontal="center" vertical="center"/>
    </xf>
    <xf numFmtId="0" fontId="25" fillId="18" borderId="2" xfId="0" applyNumberFormat="1" applyFont="1" applyFill="1" applyBorder="1" applyAlignment="1">
      <alignment horizontal="center" vertical="center"/>
    </xf>
    <xf numFmtId="0" fontId="19" fillId="18" borderId="2" xfId="0" applyNumberFormat="1" applyFont="1" applyFill="1" applyBorder="1" applyAlignment="1">
      <alignment horizontal="center" vertical="center"/>
    </xf>
    <xf numFmtId="169" fontId="25" fillId="18" borderId="0" xfId="0" applyNumberFormat="1" applyFont="1" applyFill="1" applyBorder="1" applyAlignment="1">
      <alignment horizontal="left" vertical="center"/>
    </xf>
    <xf numFmtId="0" fontId="25" fillId="18" borderId="0" xfId="0" applyNumberFormat="1" applyFont="1" applyFill="1" applyBorder="1" applyAlignment="1">
      <alignment horizontal="left" vertical="center"/>
    </xf>
    <xf numFmtId="0" fontId="25" fillId="18" borderId="0" xfId="0" applyNumberFormat="1" applyFont="1" applyFill="1" applyBorder="1" applyAlignment="1">
      <alignment horizontal="left" vertical="center"/>
    </xf>
    <xf numFmtId="170" fontId="25" fillId="18" borderId="0" xfId="0" applyNumberFormat="1" applyFont="1" applyFill="1" applyBorder="1" applyAlignment="1">
      <alignment horizontal="left" vertical="center"/>
    </xf>
    <xf numFmtId="0" fontId="25" fillId="2" borderId="0" xfId="0" applyNumberFormat="1" applyFont="1" applyFill="1" applyBorder="1" applyAlignment="1">
      <alignment horizontal="center" vertical="center"/>
    </xf>
    <xf numFmtId="0" fontId="25" fillId="2" borderId="7" xfId="0" applyNumberFormat="1" applyFont="1" applyFill="1" applyBorder="1" applyAlignment="1">
      <alignment horizontal="center" vertical="center"/>
    </xf>
    <xf numFmtId="0" fontId="25" fillId="2" borderId="4" xfId="0" applyNumberFormat="1" applyFont="1" applyFill="1" applyBorder="1" applyAlignment="1">
      <alignment horizontal="center" vertical="center"/>
    </xf>
    <xf numFmtId="0" fontId="25" fillId="0" borderId="39" xfId="0" applyNumberFormat="1" applyFont="1" applyBorder="1" applyAlignment="1">
      <alignment horizontal="center" vertical="center"/>
    </xf>
    <xf numFmtId="0" fontId="25" fillId="0" borderId="80" xfId="0" applyNumberFormat="1" applyFont="1" applyBorder="1" applyAlignment="1">
      <alignment horizontal="center" vertical="center"/>
    </xf>
    <xf numFmtId="0" fontId="25" fillId="0" borderId="40" xfId="0" applyNumberFormat="1" applyFont="1" applyBorder="1" applyAlignment="1">
      <alignment horizontal="center" vertical="center"/>
    </xf>
    <xf numFmtId="0" fontId="25" fillId="0" borderId="4" xfId="0" applyNumberFormat="1" applyFont="1" applyFill="1" applyBorder="1" applyAlignment="1">
      <alignment horizontal="center" vertical="center"/>
    </xf>
    <xf numFmtId="0" fontId="25" fillId="0" borderId="5" xfId="0" applyNumberFormat="1" applyFont="1" applyFill="1" applyBorder="1" applyAlignment="1">
      <alignment horizontal="center" vertical="center"/>
    </xf>
    <xf numFmtId="0" fontId="25" fillId="2" borderId="1" xfId="0" applyNumberFormat="1" applyFont="1" applyFill="1" applyBorder="1" applyAlignment="1">
      <alignment horizontal="center" vertical="center"/>
    </xf>
    <xf numFmtId="0" fontId="25" fillId="2" borderId="0" xfId="0" applyNumberFormat="1" applyFont="1" applyFill="1" applyBorder="1" applyAlignment="1">
      <alignment horizontal="center" vertical="center"/>
    </xf>
    <xf numFmtId="0" fontId="25" fillId="0" borderId="0" xfId="0" applyNumberFormat="1" applyFont="1" applyFill="1" applyBorder="1" applyAlignment="1">
      <alignment horizontal="center" vertical="center"/>
    </xf>
    <xf numFmtId="0" fontId="25" fillId="0" borderId="2" xfId="0" applyNumberFormat="1" applyFont="1" applyFill="1" applyBorder="1" applyAlignment="1">
      <alignment horizontal="center" vertical="center"/>
    </xf>
    <xf numFmtId="0" fontId="25" fillId="0" borderId="12" xfId="0" applyNumberFormat="1" applyFont="1" applyFill="1" applyBorder="1" applyAlignment="1">
      <alignment horizontal="center" vertical="center"/>
    </xf>
    <xf numFmtId="0" fontId="25" fillId="0" borderId="13" xfId="0" applyNumberFormat="1" applyFont="1" applyFill="1" applyBorder="1" applyAlignment="1">
      <alignment horizontal="center" vertical="center"/>
    </xf>
    <xf numFmtId="0" fontId="25" fillId="0" borderId="14" xfId="0" applyNumberFormat="1" applyFont="1" applyFill="1" applyBorder="1" applyAlignment="1">
      <alignment horizontal="center" vertical="center"/>
    </xf>
    <xf numFmtId="0" fontId="25" fillId="0" borderId="8" xfId="0" applyNumberFormat="1" applyFont="1" applyFill="1" applyBorder="1" applyAlignment="1">
      <alignment horizontal="center" vertical="center"/>
    </xf>
    <xf numFmtId="0" fontId="25" fillId="0" borderId="9" xfId="0" applyNumberFormat="1" applyFont="1" applyFill="1" applyBorder="1" applyAlignment="1">
      <alignment horizontal="center" vertical="center"/>
    </xf>
    <xf numFmtId="0" fontId="25" fillId="0" borderId="10" xfId="0" applyNumberFormat="1" applyFont="1" applyFill="1" applyBorder="1" applyAlignment="1">
      <alignment horizontal="center" vertical="center"/>
    </xf>
    <xf numFmtId="0" fontId="25" fillId="2" borderId="0" xfId="0" applyNumberFormat="1" applyFont="1" applyFill="1" applyBorder="1" applyAlignment="1">
      <alignment vertical="center"/>
    </xf>
    <xf numFmtId="0" fontId="25" fillId="0" borderId="39" xfId="0" applyNumberFormat="1" applyFont="1" applyFill="1" applyBorder="1" applyAlignment="1">
      <alignment horizontal="center" vertical="center"/>
    </xf>
    <xf numFmtId="0" fontId="25" fillId="0" borderId="80" xfId="0" applyNumberFormat="1" applyFont="1" applyFill="1" applyBorder="1" applyAlignment="1">
      <alignment horizontal="center" vertical="center"/>
    </xf>
    <xf numFmtId="0" fontId="25" fillId="0" borderId="40" xfId="0" applyNumberFormat="1" applyFont="1" applyFill="1" applyBorder="1" applyAlignment="1">
      <alignment horizontal="center" vertical="center"/>
    </xf>
    <xf numFmtId="0" fontId="25" fillId="0" borderId="7" xfId="0" applyNumberFormat="1" applyFont="1" applyBorder="1" applyAlignment="1">
      <alignment horizontal="center" vertical="center"/>
    </xf>
    <xf numFmtId="0" fontId="25" fillId="0" borderId="4" xfId="0" applyNumberFormat="1" applyFont="1" applyBorder="1" applyAlignment="1">
      <alignment horizontal="center" vertical="center"/>
    </xf>
    <xf numFmtId="0" fontId="25" fillId="0" borderId="1" xfId="0" applyNumberFormat="1" applyFont="1" applyBorder="1" applyAlignment="1">
      <alignment horizontal="center" vertical="center"/>
    </xf>
    <xf numFmtId="0" fontId="25" fillId="0" borderId="0" xfId="0" applyNumberFormat="1" applyFont="1" applyBorder="1" applyAlignment="1">
      <alignment horizontal="center" vertical="center"/>
    </xf>
    <xf numFmtId="0" fontId="25" fillId="0" borderId="0" xfId="0" applyNumberFormat="1" applyFont="1" applyAlignment="1">
      <alignment horizontal="center" vertical="center"/>
    </xf>
    <xf numFmtId="0" fontId="25" fillId="0" borderId="22" xfId="0" applyNumberFormat="1" applyFont="1" applyBorder="1" applyAlignment="1">
      <alignment horizontal="center" vertical="center"/>
    </xf>
    <xf numFmtId="0" fontId="25" fillId="0" borderId="65" xfId="0" applyNumberFormat="1" applyFont="1" applyBorder="1" applyAlignment="1">
      <alignment horizontal="center" vertical="center"/>
    </xf>
    <xf numFmtId="0" fontId="25" fillId="0" borderId="23" xfId="0" applyNumberFormat="1" applyFont="1" applyBorder="1" applyAlignment="1">
      <alignment horizontal="center" vertical="center"/>
    </xf>
    <xf numFmtId="0" fontId="25" fillId="0" borderId="20" xfId="0" applyNumberFormat="1" applyFont="1" applyBorder="1" applyAlignment="1">
      <alignment horizontal="center" vertical="center"/>
    </xf>
    <xf numFmtId="0" fontId="25" fillId="0" borderId="66" xfId="0" applyNumberFormat="1" applyFont="1" applyBorder="1" applyAlignment="1">
      <alignment horizontal="center" vertical="center"/>
    </xf>
    <xf numFmtId="0" fontId="25" fillId="0" borderId="21" xfId="0" applyNumberFormat="1" applyFont="1" applyBorder="1" applyAlignment="1">
      <alignment horizontal="center" vertical="center"/>
    </xf>
    <xf numFmtId="0" fontId="25" fillId="0" borderId="5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5" fillId="0" borderId="13" xfId="0" applyNumberFormat="1" applyFont="1" applyBorder="1" applyAlignment="1">
      <alignment horizontal="center" vertical="center"/>
    </xf>
    <xf numFmtId="0" fontId="25" fillId="0" borderId="14" xfId="0" applyNumberFormat="1" applyFont="1" applyBorder="1" applyAlignment="1">
      <alignment horizontal="center" vertical="center"/>
    </xf>
    <xf numFmtId="0" fontId="25" fillId="0" borderId="9" xfId="0" applyNumberFormat="1" applyFont="1" applyBorder="1" applyAlignment="1">
      <alignment horizontal="center" vertical="center"/>
    </xf>
    <xf numFmtId="0" fontId="25" fillId="0" borderId="10" xfId="0" applyNumberFormat="1" applyFont="1" applyBorder="1" applyAlignment="1">
      <alignment horizontal="center" vertical="center"/>
    </xf>
    <xf numFmtId="0" fontId="25" fillId="0" borderId="43" xfId="0" applyNumberFormat="1" applyFont="1" applyBorder="1" applyAlignment="1">
      <alignment horizontal="center" vertical="center"/>
    </xf>
    <xf numFmtId="0" fontId="25" fillId="0" borderId="44" xfId="0" applyNumberFormat="1" applyFont="1" applyBorder="1" applyAlignment="1">
      <alignment horizontal="center" vertical="center"/>
    </xf>
    <xf numFmtId="0" fontId="25" fillId="0" borderId="86" xfId="0" applyNumberFormat="1" applyFont="1" applyBorder="1" applyAlignment="1">
      <alignment horizontal="center" vertical="center"/>
    </xf>
    <xf numFmtId="0" fontId="25" fillId="0" borderId="24" xfId="0" applyNumberFormat="1" applyFont="1" applyBorder="1" applyAlignment="1">
      <alignment horizontal="center" vertical="center"/>
    </xf>
    <xf numFmtId="0" fontId="25" fillId="0" borderId="25" xfId="0" applyNumberFormat="1" applyFont="1" applyBorder="1" applyAlignment="1">
      <alignment horizontal="center" vertical="center"/>
    </xf>
    <xf numFmtId="0" fontId="25" fillId="0" borderId="87" xfId="0" applyNumberFormat="1" applyFont="1" applyBorder="1" applyAlignment="1">
      <alignment horizontal="center" vertical="center"/>
    </xf>
    <xf numFmtId="0" fontId="25" fillId="0" borderId="11" xfId="0" applyNumberFormat="1" applyFont="1" applyBorder="1" applyAlignment="1">
      <alignment horizontal="center" vertical="center"/>
    </xf>
    <xf numFmtId="0" fontId="25" fillId="0" borderId="45" xfId="0" applyNumberFormat="1" applyFont="1" applyBorder="1" applyAlignment="1">
      <alignment horizontal="center" vertical="center"/>
    </xf>
    <xf numFmtId="0" fontId="25" fillId="0" borderId="0" xfId="0" applyNumberFormat="1" applyFont="1" applyBorder="1" applyAlignment="1">
      <alignment vertical="center"/>
    </xf>
    <xf numFmtId="0" fontId="25" fillId="0" borderId="15" xfId="0" applyNumberFormat="1" applyFont="1" applyBorder="1" applyAlignment="1">
      <alignment horizontal="center" vertical="center"/>
    </xf>
    <xf numFmtId="0" fontId="25" fillId="0" borderId="16" xfId="0" applyNumberFormat="1" applyFont="1" applyBorder="1" applyAlignment="1">
      <alignment horizontal="center" vertical="center"/>
    </xf>
    <xf numFmtId="0" fontId="25" fillId="0" borderId="12" xfId="0" applyNumberFormat="1" applyFont="1" applyBorder="1" applyAlignment="1">
      <alignment horizontal="center" vertical="center"/>
    </xf>
    <xf numFmtId="0" fontId="25" fillId="0" borderId="18" xfId="0" applyNumberFormat="1" applyFont="1" applyBorder="1" applyAlignment="1">
      <alignment horizontal="center" vertical="center"/>
    </xf>
    <xf numFmtId="0" fontId="25" fillId="0" borderId="8" xfId="0" applyNumberFormat="1" applyFont="1" applyBorder="1" applyAlignment="1">
      <alignment horizontal="center" vertical="center"/>
    </xf>
    <xf numFmtId="0" fontId="25" fillId="0" borderId="42" xfId="0" applyNumberFormat="1" applyFont="1" applyBorder="1" applyAlignment="1">
      <alignment horizontal="center" vertical="center"/>
    </xf>
    <xf numFmtId="0" fontId="25" fillId="0" borderId="78" xfId="0" applyNumberFormat="1" applyFont="1" applyBorder="1" applyAlignment="1">
      <alignment horizontal="center" vertical="center"/>
    </xf>
    <xf numFmtId="0" fontId="25" fillId="0" borderId="79" xfId="0" applyNumberFormat="1" applyFont="1" applyBorder="1" applyAlignment="1">
      <alignment horizontal="center" vertical="center"/>
    </xf>
    <xf numFmtId="0" fontId="25" fillId="0" borderId="19" xfId="0" applyNumberFormat="1" applyFont="1" applyBorder="1" applyAlignment="1">
      <alignment horizontal="center" vertical="center"/>
    </xf>
    <xf numFmtId="0" fontId="25" fillId="0" borderId="81" xfId="0" applyNumberFormat="1" applyFont="1" applyBorder="1" applyAlignment="1">
      <alignment horizontal="center" vertical="center"/>
    </xf>
    <xf numFmtId="0" fontId="25" fillId="0" borderId="75" xfId="0" applyNumberFormat="1" applyFont="1" applyBorder="1" applyAlignment="1">
      <alignment horizontal="center" vertical="center"/>
    </xf>
    <xf numFmtId="0" fontId="25" fillId="0" borderId="76" xfId="0" applyNumberFormat="1" applyFont="1" applyBorder="1" applyAlignment="1">
      <alignment horizontal="center" vertical="center"/>
    </xf>
    <xf numFmtId="0" fontId="25" fillId="0" borderId="77" xfId="0" applyNumberFormat="1" applyFont="1" applyBorder="1" applyAlignment="1">
      <alignment horizontal="center" vertical="center"/>
    </xf>
    <xf numFmtId="0" fontId="25" fillId="0" borderId="70" xfId="0" applyNumberFormat="1" applyFont="1" applyBorder="1" applyAlignment="1">
      <alignment horizontal="center" vertical="center"/>
    </xf>
    <xf numFmtId="0" fontId="25" fillId="0" borderId="68" xfId="0" applyNumberFormat="1" applyFont="1" applyBorder="1" applyAlignment="1">
      <alignment horizontal="center" vertical="center"/>
    </xf>
    <xf numFmtId="0" fontId="25" fillId="0" borderId="69" xfId="0" applyNumberFormat="1" applyFont="1" applyBorder="1" applyAlignment="1">
      <alignment horizontal="center" vertical="center"/>
    </xf>
    <xf numFmtId="0" fontId="25" fillId="0" borderId="67" xfId="0" applyNumberFormat="1" applyFont="1" applyBorder="1" applyAlignment="1">
      <alignment horizontal="center" vertical="center"/>
    </xf>
    <xf numFmtId="0" fontId="25" fillId="0" borderId="71" xfId="0" applyNumberFormat="1" applyFont="1" applyBorder="1" applyAlignment="1">
      <alignment horizontal="center" vertical="center"/>
    </xf>
    <xf numFmtId="0" fontId="25" fillId="0" borderId="72" xfId="0" applyNumberFormat="1" applyFont="1" applyBorder="1" applyAlignment="1">
      <alignment horizontal="center" vertical="center"/>
    </xf>
    <xf numFmtId="0" fontId="25" fillId="0" borderId="73" xfId="0" applyNumberFormat="1" applyFont="1" applyBorder="1" applyAlignment="1">
      <alignment horizontal="center" vertical="center"/>
    </xf>
    <xf numFmtId="0" fontId="25" fillId="0" borderId="74" xfId="0" applyNumberFormat="1" applyFont="1" applyBorder="1" applyAlignment="1">
      <alignment horizontal="center" vertical="center"/>
    </xf>
    <xf numFmtId="0" fontId="25" fillId="0" borderId="83" xfId="0" applyNumberFormat="1" applyFont="1" applyBorder="1" applyAlignment="1">
      <alignment horizontal="center" vertical="center"/>
    </xf>
    <xf numFmtId="0" fontId="25" fillId="0" borderId="6" xfId="0" applyNumberFormat="1" applyFont="1" applyBorder="1" applyAlignment="1">
      <alignment horizontal="center" vertical="center"/>
    </xf>
    <xf numFmtId="0" fontId="25" fillId="0" borderId="3" xfId="0" applyNumberFormat="1" applyFont="1" applyBorder="1" applyAlignment="1">
      <alignment horizontal="center" vertical="center"/>
    </xf>
    <xf numFmtId="0" fontId="25" fillId="0" borderId="41" xfId="0" applyNumberFormat="1" applyFont="1" applyBorder="1" applyAlignment="1">
      <alignment horizontal="center" vertical="center"/>
    </xf>
    <xf numFmtId="0" fontId="25" fillId="0" borderId="46" xfId="0" applyNumberFormat="1" applyFont="1" applyBorder="1" applyAlignment="1">
      <alignment horizontal="center" vertical="center"/>
    </xf>
    <xf numFmtId="0" fontId="25" fillId="0" borderId="47" xfId="0" applyNumberFormat="1" applyFont="1" applyBorder="1" applyAlignment="1">
      <alignment horizontal="center" vertical="center"/>
    </xf>
    <xf numFmtId="0" fontId="25" fillId="0" borderId="84" xfId="0" applyNumberFormat="1" applyFont="1" applyBorder="1" applyAlignment="1">
      <alignment horizontal="center" vertical="center"/>
    </xf>
    <xf numFmtId="0" fontId="25" fillId="0" borderId="85" xfId="0" applyNumberFormat="1" applyFont="1" applyBorder="1" applyAlignment="1">
      <alignment horizontal="center" vertical="center"/>
    </xf>
    <xf numFmtId="0" fontId="25" fillId="0" borderId="82" xfId="0" applyNumberFormat="1" applyFont="1" applyBorder="1" applyAlignment="1">
      <alignment horizontal="center" vertical="center"/>
    </xf>
    <xf numFmtId="0" fontId="19" fillId="2" borderId="0" xfId="0" applyNumberFormat="1" applyFont="1" applyFill="1" applyBorder="1" applyAlignment="1">
      <alignment horizontal="center" vertical="center"/>
    </xf>
    <xf numFmtId="169" fontId="25" fillId="2" borderId="0" xfId="0" applyNumberFormat="1" applyFont="1" applyFill="1" applyBorder="1" applyAlignment="1">
      <alignment horizontal="center" vertical="center"/>
    </xf>
    <xf numFmtId="170" fontId="25" fillId="2" borderId="0" xfId="0" applyNumberFormat="1" applyFont="1" applyFill="1" applyBorder="1" applyAlignment="1">
      <alignment horizontal="center" vertical="center"/>
    </xf>
    <xf numFmtId="0" fontId="25" fillId="18" borderId="4" xfId="0" applyNumberFormat="1" applyFont="1" applyFill="1" applyBorder="1" applyAlignment="1">
      <alignment horizontal="center" vertical="center"/>
    </xf>
    <xf numFmtId="0" fontId="25" fillId="18" borderId="5" xfId="0" applyNumberFormat="1" applyFont="1" applyFill="1" applyBorder="1" applyAlignment="1">
      <alignment horizontal="center" vertical="center"/>
    </xf>
    <xf numFmtId="0" fontId="19" fillId="18" borderId="7" xfId="0" applyNumberFormat="1" applyFont="1" applyFill="1" applyBorder="1" applyAlignment="1">
      <alignment horizontal="center" vertical="center"/>
    </xf>
    <xf numFmtId="0" fontId="19" fillId="18" borderId="4" xfId="0" applyNumberFormat="1" applyFont="1" applyFill="1" applyBorder="1" applyAlignment="1">
      <alignment horizontal="center" vertical="center"/>
    </xf>
    <xf numFmtId="0" fontId="19" fillId="18" borderId="1" xfId="0" applyNumberFormat="1" applyFont="1" applyFill="1" applyBorder="1" applyAlignment="1">
      <alignment horizontal="center" vertical="center"/>
    </xf>
    <xf numFmtId="0" fontId="25" fillId="3" borderId="0" xfId="0" applyNumberFormat="1" applyFont="1" applyFill="1" applyBorder="1" applyAlignment="1">
      <alignment horizontal="center" vertical="center"/>
    </xf>
    <xf numFmtId="0" fontId="25" fillId="3" borderId="0" xfId="0" applyNumberFormat="1" applyFont="1" applyFill="1" applyBorder="1" applyAlignment="1">
      <alignment vertical="center"/>
    </xf>
    <xf numFmtId="0" fontId="25" fillId="3" borderId="4" xfId="0" applyNumberFormat="1" applyFont="1" applyFill="1" applyBorder="1" applyAlignment="1">
      <alignment horizontal="center" vertical="center"/>
    </xf>
    <xf numFmtId="0" fontId="25" fillId="3" borderId="0" xfId="0" applyNumberFormat="1" applyFont="1" applyFill="1" applyBorder="1" applyAlignment="1">
      <alignment horizontal="center" vertical="center"/>
    </xf>
    <xf numFmtId="0" fontId="25" fillId="3" borderId="0" xfId="0" applyNumberFormat="1" applyFont="1" applyFill="1" applyBorder="1" applyAlignment="1">
      <alignment vertical="center"/>
    </xf>
    <xf numFmtId="169" fontId="25" fillId="3" borderId="0" xfId="0" applyNumberFormat="1" applyFont="1" applyFill="1" applyBorder="1" applyAlignment="1">
      <alignment horizontal="center" vertical="center"/>
    </xf>
    <xf numFmtId="170" fontId="25" fillId="3" borderId="0" xfId="0" applyNumberFormat="1" applyFont="1" applyFill="1" applyBorder="1" applyAlignment="1">
      <alignment vertical="center"/>
    </xf>
    <xf numFmtId="0" fontId="25" fillId="18" borderId="12" xfId="0" applyNumberFormat="1" applyFont="1" applyFill="1" applyBorder="1" applyAlignment="1">
      <alignment horizontal="center" vertical="center"/>
    </xf>
    <xf numFmtId="0" fontId="25" fillId="18" borderId="13" xfId="0" applyNumberFormat="1" applyFont="1" applyFill="1" applyBorder="1" applyAlignment="1">
      <alignment horizontal="center" vertical="center"/>
    </xf>
    <xf numFmtId="0" fontId="25" fillId="18" borderId="14" xfId="0" applyNumberFormat="1" applyFont="1" applyFill="1" applyBorder="1" applyAlignment="1">
      <alignment horizontal="center" vertical="center"/>
    </xf>
    <xf numFmtId="0" fontId="25" fillId="18" borderId="8" xfId="0" applyNumberFormat="1" applyFont="1" applyFill="1" applyBorder="1" applyAlignment="1">
      <alignment horizontal="center" vertical="center"/>
    </xf>
    <xf numFmtId="0" fontId="25" fillId="18" borderId="9" xfId="0" applyNumberFormat="1" applyFont="1" applyFill="1" applyBorder="1" applyAlignment="1">
      <alignment horizontal="center" vertical="center"/>
    </xf>
    <xf numFmtId="0" fontId="25" fillId="18" borderId="10" xfId="0" applyNumberFormat="1" applyFont="1" applyFill="1" applyBorder="1" applyAlignment="1">
      <alignment horizontal="center" vertical="center"/>
    </xf>
    <xf numFmtId="0" fontId="19" fillId="18" borderId="13" xfId="0" applyNumberFormat="1" applyFont="1" applyFill="1" applyBorder="1" applyAlignment="1">
      <alignment horizontal="center" vertical="center"/>
    </xf>
    <xf numFmtId="0" fontId="25" fillId="18" borderId="9" xfId="0" applyNumberFormat="1" applyFont="1" applyFill="1" applyBorder="1" applyAlignment="1">
      <alignment horizontal="center" vertical="center"/>
    </xf>
    <xf numFmtId="169" fontId="25" fillId="18" borderId="9" xfId="0" applyNumberFormat="1" applyFont="1" applyFill="1" applyBorder="1" applyAlignment="1">
      <alignment horizontal="center" vertical="center"/>
    </xf>
    <xf numFmtId="170" fontId="25" fillId="18" borderId="9" xfId="0" applyNumberFormat="1" applyFont="1" applyFill="1" applyBorder="1" applyAlignment="1">
      <alignment horizontal="center" vertical="center"/>
    </xf>
    <xf numFmtId="0" fontId="25" fillId="3" borderId="2" xfId="0" applyNumberFormat="1" applyFont="1" applyFill="1" applyBorder="1" applyAlignment="1">
      <alignment horizontal="center" vertical="center"/>
    </xf>
    <xf numFmtId="0" fontId="25" fillId="3" borderId="1" xfId="0" applyNumberFormat="1" applyFont="1" applyFill="1" applyBorder="1" applyAlignment="1">
      <alignment horizontal="center" vertical="center"/>
    </xf>
    <xf numFmtId="0" fontId="25" fillId="3" borderId="7" xfId="0" applyNumberFormat="1" applyFont="1" applyFill="1" applyBorder="1" applyAlignment="1">
      <alignment horizontal="center" vertical="center"/>
    </xf>
    <xf numFmtId="0" fontId="19" fillId="3" borderId="0" xfId="0" applyNumberFormat="1" applyFont="1" applyFill="1" applyBorder="1" applyAlignment="1">
      <alignment horizontal="center" vertical="center"/>
    </xf>
    <xf numFmtId="0" fontId="19" fillId="3" borderId="0" xfId="0" applyNumberFormat="1" applyFont="1" applyFill="1" applyBorder="1" applyAlignment="1">
      <alignment horizontal="left" vertical="center"/>
    </xf>
    <xf numFmtId="0" fontId="25" fillId="3" borderId="11" xfId="0" applyNumberFormat="1" applyFont="1" applyFill="1" applyBorder="1" applyAlignment="1">
      <alignment horizontal="center" vertical="center"/>
    </xf>
    <xf numFmtId="0" fontId="25" fillId="8" borderId="4" xfId="0" applyNumberFormat="1" applyFont="1" applyFill="1" applyBorder="1" applyAlignment="1">
      <alignment horizontal="center" vertical="center"/>
    </xf>
    <xf numFmtId="0" fontId="25" fillId="8" borderId="0" xfId="0" applyNumberFormat="1" applyFont="1" applyFill="1" applyBorder="1" applyAlignment="1">
      <alignment horizontal="center" vertical="center"/>
    </xf>
    <xf numFmtId="0" fontId="19" fillId="8" borderId="4" xfId="0" applyNumberFormat="1" applyFont="1" applyFill="1" applyBorder="1" applyAlignment="1">
      <alignment horizontal="left" vertical="center"/>
    </xf>
    <xf numFmtId="0" fontId="25" fillId="8" borderId="0" xfId="0" applyNumberFormat="1" applyFont="1" applyFill="1" applyBorder="1" applyAlignment="1">
      <alignment horizontal="center" vertical="center"/>
    </xf>
    <xf numFmtId="169" fontId="25" fillId="8" borderId="0" xfId="0" applyNumberFormat="1" applyFont="1" applyFill="1" applyBorder="1" applyAlignment="1">
      <alignment horizontal="center" vertical="center"/>
    </xf>
    <xf numFmtId="170" fontId="25" fillId="8" borderId="0" xfId="0" applyNumberFormat="1" applyFont="1" applyFill="1" applyBorder="1" applyAlignment="1">
      <alignment horizontal="center" vertical="center"/>
    </xf>
    <xf numFmtId="170" fontId="25" fillId="3" borderId="0" xfId="0" applyNumberFormat="1" applyFont="1" applyFill="1" applyBorder="1" applyAlignment="1">
      <alignment horizontal="center" vertical="center"/>
    </xf>
    <xf numFmtId="0" fontId="25" fillId="9" borderId="1" xfId="0" applyNumberFormat="1" applyFont="1" applyFill="1" applyBorder="1" applyAlignment="1">
      <alignment horizontal="center" vertical="center"/>
    </xf>
    <xf numFmtId="0" fontId="25" fillId="9" borderId="0" xfId="0" applyNumberFormat="1" applyFont="1" applyFill="1" applyBorder="1" applyAlignment="1">
      <alignment horizontal="center" vertical="center"/>
    </xf>
    <xf numFmtId="0" fontId="25" fillId="9" borderId="2" xfId="0" applyNumberFormat="1" applyFont="1" applyFill="1" applyBorder="1" applyAlignment="1">
      <alignment horizontal="center" vertical="center"/>
    </xf>
    <xf numFmtId="0" fontId="25" fillId="18" borderId="1" xfId="0" applyNumberFormat="1" applyFont="1" applyFill="1" applyBorder="1" applyAlignment="1">
      <alignment horizontal="center" vertical="center"/>
    </xf>
    <xf numFmtId="0" fontId="25" fillId="18" borderId="7" xfId="0" applyNumberFormat="1" applyFont="1" applyFill="1" applyBorder="1" applyAlignment="1">
      <alignment horizontal="center" vertical="center"/>
    </xf>
    <xf numFmtId="0" fontId="25" fillId="2" borderId="0" xfId="0" applyNumberFormat="1" applyFont="1" applyFill="1" applyAlignment="1">
      <alignment horizontal="center" vertical="center"/>
    </xf>
    <xf numFmtId="0" fontId="25" fillId="3" borderId="0" xfId="0" applyNumberFormat="1" applyFont="1" applyFill="1" applyAlignment="1">
      <alignment horizontal="center" vertical="center"/>
    </xf>
    <xf numFmtId="0" fontId="25" fillId="8" borderId="2" xfId="0" applyNumberFormat="1" applyFont="1" applyFill="1" applyBorder="1" applyAlignment="1">
      <alignment horizontal="center" vertical="center"/>
    </xf>
    <xf numFmtId="0" fontId="25" fillId="8" borderId="0" xfId="0" applyNumberFormat="1" applyFont="1" applyFill="1" applyAlignment="1">
      <alignment horizontal="center" vertical="center"/>
    </xf>
    <xf numFmtId="0" fontId="25" fillId="18" borderId="0" xfId="0" applyNumberFormat="1" applyFont="1" applyFill="1" applyAlignment="1">
      <alignment horizontal="center" vertical="center"/>
    </xf>
    <xf numFmtId="0" fontId="19" fillId="3" borderId="4" xfId="0" applyNumberFormat="1" applyFont="1" applyFill="1" applyBorder="1" applyAlignment="1">
      <alignment horizontal="left" vertical="center"/>
    </xf>
    <xf numFmtId="0" fontId="25" fillId="3" borderId="0" xfId="0" applyNumberFormat="1" applyFont="1" applyFill="1" applyBorder="1" applyAlignment="1">
      <alignment horizontal="left" vertical="center"/>
    </xf>
    <xf numFmtId="169" fontId="25" fillId="3" borderId="0" xfId="0" applyNumberFormat="1" applyFont="1" applyFill="1" applyBorder="1" applyAlignment="1">
      <alignment horizontal="left" vertical="center"/>
    </xf>
    <xf numFmtId="0" fontId="25" fillId="3" borderId="0" xfId="0" applyNumberFormat="1" applyFont="1" applyFill="1" applyBorder="1" applyAlignment="1">
      <alignment horizontal="left" vertical="center"/>
    </xf>
    <xf numFmtId="170" fontId="25" fillId="3" borderId="0" xfId="0" applyNumberFormat="1" applyFont="1" applyFill="1" applyBorder="1" applyAlignment="1">
      <alignment horizontal="left" vertical="center"/>
    </xf>
    <xf numFmtId="0" fontId="19" fillId="18" borderId="0" xfId="0" applyNumberFormat="1" applyFont="1" applyFill="1" applyBorder="1" applyAlignment="1">
      <alignment horizontal="left" vertical="center"/>
    </xf>
    <xf numFmtId="0" fontId="15" fillId="3" borderId="0" xfId="0" applyNumberFormat="1" applyFont="1" applyFill="1" applyAlignment="1">
      <alignment horizontal="center" vertical="center"/>
    </xf>
    <xf numFmtId="0" fontId="25" fillId="9" borderId="7" xfId="0" applyNumberFormat="1" applyFont="1" applyFill="1" applyBorder="1" applyAlignment="1">
      <alignment horizontal="center" vertical="center"/>
    </xf>
    <xf numFmtId="0" fontId="25" fillId="9" borderId="4" xfId="0" applyNumberFormat="1" applyFont="1" applyFill="1" applyBorder="1" applyAlignment="1">
      <alignment horizontal="center" vertical="center"/>
    </xf>
    <xf numFmtId="0" fontId="25" fillId="9" borderId="5" xfId="0" applyNumberFormat="1" applyFont="1" applyFill="1" applyBorder="1" applyAlignment="1">
      <alignment horizontal="center" vertical="center"/>
    </xf>
    <xf numFmtId="0" fontId="19" fillId="9" borderId="0" xfId="0" applyNumberFormat="1" applyFont="1" applyFill="1" applyBorder="1" applyAlignment="1">
      <alignment horizontal="left" vertical="center"/>
    </xf>
    <xf numFmtId="0" fontId="25" fillId="9" borderId="0" xfId="0" applyNumberFormat="1" applyFont="1" applyFill="1" applyBorder="1" applyAlignment="1">
      <alignment horizontal="center" vertical="center"/>
    </xf>
    <xf numFmtId="169" fontId="25" fillId="9" borderId="0" xfId="0" applyNumberFormat="1" applyFont="1" applyFill="1" applyBorder="1" applyAlignment="1">
      <alignment horizontal="center" vertical="center"/>
    </xf>
    <xf numFmtId="170" fontId="25" fillId="9" borderId="0" xfId="0" applyNumberFormat="1" applyFont="1" applyFill="1" applyBorder="1" applyAlignment="1">
      <alignment horizontal="center" vertical="center"/>
    </xf>
    <xf numFmtId="0" fontId="25" fillId="8" borderId="5" xfId="0" applyNumberFormat="1" applyFont="1" applyFill="1" applyBorder="1" applyAlignment="1">
      <alignment horizontal="center" vertical="center"/>
    </xf>
    <xf numFmtId="0" fontId="19" fillId="8" borderId="0" xfId="0" applyNumberFormat="1" applyFont="1" applyFill="1" applyAlignment="1">
      <alignment horizontal="left" vertical="center"/>
    </xf>
    <xf numFmtId="0" fontId="19" fillId="2" borderId="4" xfId="0" applyNumberFormat="1" applyFont="1" applyFill="1" applyBorder="1" applyAlignment="1">
      <alignment horizontal="left" vertical="center"/>
    </xf>
    <xf numFmtId="0" fontId="25" fillId="3" borderId="13" xfId="0" applyNumberFormat="1" applyFont="1" applyFill="1" applyBorder="1" applyAlignment="1">
      <alignment vertical="center"/>
    </xf>
    <xf numFmtId="0" fontId="25" fillId="3" borderId="14" xfId="0" applyNumberFormat="1" applyFont="1" applyFill="1" applyBorder="1" applyAlignment="1">
      <alignment vertical="center"/>
    </xf>
    <xf numFmtId="0" fontId="25" fillId="3" borderId="10" xfId="0" applyNumberFormat="1" applyFont="1" applyFill="1" applyBorder="1" applyAlignment="1">
      <alignment vertical="center"/>
    </xf>
    <xf numFmtId="0" fontId="25" fillId="3" borderId="24" xfId="0" applyNumberFormat="1" applyFont="1" applyFill="1" applyBorder="1" applyAlignment="1">
      <alignment vertical="center"/>
    </xf>
    <xf numFmtId="0" fontId="25" fillId="3" borderId="24" xfId="0" applyNumberFormat="1" applyFont="1" applyFill="1" applyBorder="1" applyAlignment="1">
      <alignment horizontal="center" vertical="center"/>
    </xf>
    <xf numFmtId="0" fontId="25" fillId="3" borderId="25" xfId="0" applyNumberFormat="1" applyFont="1" applyFill="1" applyBorder="1" applyAlignment="1">
      <alignment horizontal="center" vertical="center"/>
    </xf>
    <xf numFmtId="0" fontId="19" fillId="3" borderId="12" xfId="0" applyNumberFormat="1" applyFont="1" applyFill="1" applyBorder="1" applyAlignment="1">
      <alignment vertical="center"/>
    </xf>
    <xf numFmtId="0" fontId="25" fillId="3" borderId="9" xfId="0" applyNumberFormat="1" applyFont="1" applyFill="1" applyBorder="1" applyAlignment="1">
      <alignment vertical="center"/>
    </xf>
    <xf numFmtId="0" fontId="25" fillId="3" borderId="9" xfId="0" applyNumberFormat="1" applyFont="1" applyFill="1" applyBorder="1" applyAlignment="1">
      <alignment horizontal="center" vertical="center"/>
    </xf>
    <xf numFmtId="169" fontId="25" fillId="3" borderId="8" xfId="0" applyNumberFormat="1" applyFont="1" applyFill="1" applyBorder="1" applyAlignment="1">
      <alignment horizontal="center" vertical="center"/>
    </xf>
    <xf numFmtId="170" fontId="25" fillId="3" borderId="9" xfId="0" applyNumberFormat="1" applyFont="1" applyFill="1" applyBorder="1" applyAlignment="1">
      <alignment vertical="center"/>
    </xf>
    <xf numFmtId="0" fontId="25" fillId="5" borderId="4" xfId="0" applyNumberFormat="1" applyFont="1" applyFill="1" applyBorder="1" applyAlignment="1">
      <alignment horizontal="center" vertical="center"/>
    </xf>
    <xf numFmtId="0" fontId="25" fillId="5" borderId="0" xfId="0" applyNumberFormat="1" applyFont="1" applyFill="1" applyBorder="1" applyAlignment="1">
      <alignment horizontal="center" vertical="center"/>
    </xf>
    <xf numFmtId="0" fontId="25" fillId="5" borderId="0" xfId="0" applyNumberFormat="1" applyFont="1" applyFill="1" applyAlignment="1">
      <alignment horizontal="center" vertical="center"/>
    </xf>
    <xf numFmtId="0" fontId="19" fillId="5" borderId="0" xfId="0" applyNumberFormat="1" applyFont="1" applyFill="1" applyBorder="1" applyAlignment="1">
      <alignment horizontal="left" vertical="center"/>
    </xf>
    <xf numFmtId="0" fontId="25" fillId="5" borderId="0" xfId="0" applyNumberFormat="1" applyFont="1" applyFill="1" applyBorder="1" applyAlignment="1">
      <alignment horizontal="center" vertical="center"/>
    </xf>
    <xf numFmtId="169" fontId="25" fillId="5" borderId="0" xfId="0" applyNumberFormat="1" applyFont="1" applyFill="1" applyBorder="1" applyAlignment="1">
      <alignment horizontal="center" vertical="center"/>
    </xf>
    <xf numFmtId="170" fontId="25" fillId="5" borderId="0" xfId="0" applyNumberFormat="1" applyFont="1" applyFill="1" applyBorder="1" applyAlignment="1">
      <alignment horizontal="center" vertical="center"/>
    </xf>
    <xf numFmtId="0" fontId="25" fillId="7" borderId="4" xfId="0" applyNumberFormat="1" applyFont="1" applyFill="1" applyBorder="1" applyAlignment="1">
      <alignment horizontal="center" vertical="center"/>
    </xf>
    <xf numFmtId="0" fontId="25" fillId="7" borderId="5" xfId="0" applyNumberFormat="1" applyFont="1" applyFill="1" applyBorder="1" applyAlignment="1">
      <alignment horizontal="center" vertical="center"/>
    </xf>
    <xf numFmtId="0" fontId="25" fillId="7" borderId="0" xfId="0" applyNumberFormat="1" applyFont="1" applyFill="1" applyBorder="1" applyAlignment="1">
      <alignment horizontal="center" vertical="center"/>
    </xf>
    <xf numFmtId="0" fontId="25" fillId="7" borderId="2" xfId="0" applyNumberFormat="1" applyFont="1" applyFill="1" applyBorder="1" applyAlignment="1">
      <alignment horizontal="center" vertical="center"/>
    </xf>
    <xf numFmtId="0" fontId="19" fillId="7" borderId="0" xfId="0" applyNumberFormat="1" applyFont="1" applyFill="1" applyBorder="1" applyAlignment="1">
      <alignment horizontal="left" vertical="center"/>
    </xf>
    <xf numFmtId="0" fontId="25" fillId="7" borderId="0" xfId="0" applyNumberFormat="1" applyFont="1" applyFill="1" applyBorder="1" applyAlignment="1">
      <alignment horizontal="center" vertical="center"/>
    </xf>
    <xf numFmtId="169" fontId="25" fillId="7" borderId="0" xfId="0" applyNumberFormat="1" applyFont="1" applyFill="1" applyBorder="1" applyAlignment="1">
      <alignment horizontal="center" vertical="center"/>
    </xf>
    <xf numFmtId="170" fontId="25" fillId="7" borderId="0" xfId="0" applyNumberFormat="1" applyFont="1" applyFill="1" applyBorder="1" applyAlignment="1">
      <alignment horizontal="center" vertical="center"/>
    </xf>
    <xf numFmtId="0" fontId="25" fillId="5" borderId="5" xfId="0" applyNumberFormat="1" applyFont="1" applyFill="1" applyBorder="1" applyAlignment="1">
      <alignment horizontal="center" vertical="center"/>
    </xf>
    <xf numFmtId="0" fontId="25" fillId="5" borderId="2" xfId="0" applyNumberFormat="1" applyFont="1" applyFill="1" applyBorder="1" applyAlignment="1">
      <alignment horizontal="center" vertical="center"/>
    </xf>
    <xf numFmtId="0" fontId="19" fillId="3" borderId="1" xfId="0" applyNumberFormat="1" applyFont="1" applyFill="1" applyBorder="1" applyAlignment="1">
      <alignment vertical="center"/>
    </xf>
    <xf numFmtId="0" fontId="19" fillId="8" borderId="0" xfId="0" applyNumberFormat="1" applyFont="1" applyFill="1" applyBorder="1" applyAlignment="1">
      <alignment horizontal="left" vertical="center"/>
    </xf>
    <xf numFmtId="0" fontId="25" fillId="8" borderId="3" xfId="0" applyNumberFormat="1" applyFont="1" applyFill="1" applyBorder="1" applyAlignment="1">
      <alignment horizontal="center" vertical="center"/>
    </xf>
    <xf numFmtId="169" fontId="25" fillId="3" borderId="1" xfId="0" applyNumberFormat="1" applyFont="1" applyFill="1" applyBorder="1" applyAlignment="1">
      <alignment horizontal="center" vertical="center"/>
    </xf>
    <xf numFmtId="170" fontId="25" fillId="3" borderId="1" xfId="0" applyNumberFormat="1" applyFont="1" applyFill="1" applyBorder="1" applyAlignment="1">
      <alignment horizontal="center" vertical="center"/>
    </xf>
    <xf numFmtId="169" fontId="25" fillId="8" borderId="1" xfId="0" applyNumberFormat="1" applyFont="1" applyFill="1" applyBorder="1" applyAlignment="1">
      <alignment horizontal="center" vertical="center"/>
    </xf>
    <xf numFmtId="170" fontId="25" fillId="8" borderId="6" xfId="0" applyNumberFormat="1" applyFont="1" applyFill="1" applyBorder="1" applyAlignment="1">
      <alignment horizontal="center" vertical="center"/>
    </xf>
    <xf numFmtId="0" fontId="25" fillId="18" borderId="15" xfId="0" applyNumberFormat="1" applyFont="1" applyFill="1" applyBorder="1" applyAlignment="1">
      <alignment horizontal="center" vertical="center"/>
    </xf>
    <xf numFmtId="0" fontId="25" fillId="18" borderId="16" xfId="0" applyNumberFormat="1" applyFont="1" applyFill="1" applyBorder="1" applyAlignment="1">
      <alignment horizontal="center" vertical="center"/>
    </xf>
    <xf numFmtId="0" fontId="25" fillId="9" borderId="0" xfId="0" applyNumberFormat="1" applyFont="1" applyFill="1" applyAlignment="1">
      <alignment horizontal="center" vertical="center"/>
    </xf>
  </cellXfs>
  <cellStyles count="8">
    <cellStyle name="Normal" xfId="0" builtinId="0"/>
    <cellStyle name="Normal 2" xfId="1"/>
    <cellStyle name="Normal 2 2" xfId="2"/>
    <cellStyle name="Normal 2 3" xfId="3"/>
    <cellStyle name="Normal 2 4" xfId="4"/>
    <cellStyle name="Normal 3" xfId="5"/>
    <cellStyle name="Percent 2" xfId="6"/>
    <cellStyle name="標準 2" xfId="7"/>
  </cellStyles>
  <dxfs count="0"/>
  <tableStyles count="0" defaultTableStyle="TableStyleMedium2" defaultPivotStyle="PivotStyleLight16"/>
  <colors>
    <mruColors>
      <color rgb="FFFF33CC"/>
      <color rgb="FFFFFF00"/>
      <color rgb="FFB4C6E7"/>
      <color rgb="FF92D050"/>
      <color rgb="FFFABF8F"/>
      <color rgb="FF00B0F0"/>
      <color rgb="FFCC6600"/>
      <color rgb="FF666699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AutoShape 8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5502" y="25088850"/>
          <a:ext cx="201707" cy="79897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3093" y="22855519"/>
          <a:ext cx="201707" cy="80009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AutoShape 81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AutoShape 81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973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400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pSpPr/>
      </xdr:nvGrpSpPr>
      <xdr:grpSpPr>
        <a:xfrm>
          <a:off x="637054" y="25499545"/>
          <a:ext cx="3419475" cy="6147619"/>
          <a:chOff x="666750" y="23507699"/>
          <a:chExt cx="3419475" cy="6175634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939686" y="29156025"/>
            <a:ext cx="2142478" cy="52730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HIGH HIGH CAR MARK: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Height 2.13 m - over</a:t>
            </a:r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66750" y="23507699"/>
            <a:ext cx="3419475" cy="6175634"/>
            <a:chOff x="666750" y="23507699"/>
            <a:chExt cx="3419475" cy="6175634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666751" y="23507699"/>
              <a:ext cx="3419474" cy="4603797"/>
              <a:chOff x="866776" y="22545674"/>
              <a:chExt cx="3371850" cy="4851448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866776" y="22545674"/>
                <a:ext cx="3371850" cy="4851448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9" name="Line 2604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47750" y="258889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0" name="Line 2604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38225" y="261175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666751" y="28108274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939687" y="28108274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Watertight ramp cover</a:t>
              </a:r>
              <a:endPara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857250" y="28232100"/>
              <a:ext cx="914400" cy="2667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  <a:prstDash val="dash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Rectangl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666751" y="28632149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1939687" y="28632149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1.78 - 2.12 m</a:t>
              </a:r>
            </a:p>
          </xdr:txBody>
        </xdr:sp>
        <xdr:sp macro="" textlink="">
          <xdr:nvSpPr>
            <xdr:cNvPr id="95" name="AutoShape 642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90625" y="28794075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666750" y="29156025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AutoShape 642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62024" y="29298901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9" name="AutoShape 642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52550" y="29298900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</xdr:grpSp>
    </xdr:grp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9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276785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54373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320290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2763370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5470971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322531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10110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101103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2202535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5513294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7227795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9424146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1642912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5845116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7205383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9435351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3884087"/>
          <a:ext cx="2279632" cy="218514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6091647"/>
          <a:ext cx="3758807" cy="465044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>
    <pageSetUpPr fitToPage="1"/>
  </sheetPr>
  <dimension ref="B1:DE447"/>
  <sheetViews>
    <sheetView tabSelected="1" view="pageBreakPreview" topLeftCell="A50" zoomScale="85" zoomScaleNormal="70" zoomScaleSheetLayoutView="85" workbookViewId="0">
      <selection activeCell="CF76" sqref="CF76"/>
    </sheetView>
  </sheetViews>
  <sheetFormatPr defaultRowHeight="14.25"/>
  <cols>
    <col min="1" max="1" width="3.7109375" style="7" customWidth="1"/>
    <col min="2" max="102" width="2.85546875" style="7" customWidth="1"/>
    <col min="103" max="103" width="2.85546875" style="10" customWidth="1"/>
    <col min="104" max="120" width="2.85546875" style="7" customWidth="1"/>
    <col min="121" max="16384" width="9.140625" style="7"/>
  </cols>
  <sheetData>
    <row r="1" spans="2:106" ht="17.25" customHeight="1"/>
    <row r="2" spans="2:106" ht="15.75" customHeight="1">
      <c r="B2" s="1" t="s">
        <v>14</v>
      </c>
      <c r="AL2" s="163" t="s">
        <v>15</v>
      </c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163"/>
      <c r="BO2" s="404" t="s">
        <v>16</v>
      </c>
      <c r="BP2" s="404"/>
      <c r="BQ2" s="404"/>
      <c r="BR2" s="404"/>
      <c r="BS2" s="404"/>
      <c r="BT2" s="404"/>
      <c r="BU2" s="446" t="s">
        <v>57</v>
      </c>
      <c r="BV2" s="446"/>
      <c r="BW2" s="446"/>
      <c r="BX2" s="446"/>
      <c r="BY2" s="446"/>
      <c r="BZ2" s="58"/>
      <c r="CA2" s="59"/>
      <c r="CB2" s="59"/>
      <c r="CC2" s="1"/>
      <c r="CD2" s="1"/>
    </row>
    <row r="3" spans="2:106" ht="20.100000000000001" customHeight="1"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Q3" s="22"/>
      <c r="R3" s="22"/>
      <c r="S3" s="22"/>
      <c r="T3" s="22"/>
      <c r="U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63"/>
      <c r="BD3" s="163"/>
      <c r="BE3" s="163"/>
      <c r="BF3" s="163"/>
      <c r="BG3" s="163"/>
      <c r="BH3" s="163"/>
      <c r="BI3" s="163"/>
      <c r="BJ3" s="163"/>
      <c r="BK3" s="163"/>
      <c r="BL3" s="163"/>
      <c r="BM3" s="163"/>
      <c r="BN3" s="22"/>
      <c r="BO3" s="404" t="s">
        <v>17</v>
      </c>
      <c r="BP3" s="404"/>
      <c r="BQ3" s="404"/>
      <c r="BR3" s="404"/>
      <c r="BS3" s="404"/>
      <c r="BT3" s="404"/>
      <c r="BU3" s="446" t="s">
        <v>79</v>
      </c>
      <c r="BV3" s="446"/>
      <c r="BW3" s="446"/>
      <c r="BX3" s="446"/>
      <c r="BY3" s="446"/>
      <c r="BZ3" s="446"/>
      <c r="CA3" s="446"/>
      <c r="CB3" s="446"/>
      <c r="CC3" s="3"/>
      <c r="CD3" s="296" t="s">
        <v>0</v>
      </c>
      <c r="CE3" s="296"/>
      <c r="CF3" s="296"/>
      <c r="CG3" s="445">
        <v>44107</v>
      </c>
      <c r="CH3" s="445"/>
      <c r="CI3" s="445"/>
      <c r="CJ3" s="445"/>
      <c r="CK3" s="445"/>
      <c r="CL3" s="445"/>
      <c r="CM3" s="445"/>
      <c r="CN3" s="445"/>
      <c r="CO3" s="445"/>
      <c r="CQ3" s="22"/>
      <c r="CR3" s="22"/>
      <c r="CS3" s="22"/>
      <c r="CT3" s="22"/>
      <c r="CU3" s="22"/>
      <c r="CV3" s="22"/>
      <c r="CW3" s="22"/>
    </row>
    <row r="4" spans="2:106" ht="11.25" customHeight="1" thickBot="1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2:106" ht="20.100000000000001" customHeight="1" thickTop="1">
      <c r="B5" s="126" t="s">
        <v>49</v>
      </c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8"/>
      <c r="Q5" s="126" t="s">
        <v>6</v>
      </c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7"/>
      <c r="AP5" s="127"/>
      <c r="AQ5" s="127"/>
      <c r="AR5" s="127"/>
      <c r="AS5" s="127"/>
      <c r="AT5" s="128"/>
      <c r="AU5" s="232" t="s">
        <v>8</v>
      </c>
      <c r="AV5" s="233"/>
      <c r="AW5" s="233"/>
      <c r="AX5" s="233"/>
      <c r="AY5" s="233"/>
      <c r="AZ5" s="233"/>
      <c r="BA5" s="233"/>
      <c r="BB5" s="233"/>
      <c r="BC5" s="233"/>
      <c r="BD5" s="234"/>
      <c r="BE5" s="232" t="s">
        <v>9</v>
      </c>
      <c r="BF5" s="233"/>
      <c r="BG5" s="233"/>
      <c r="BH5" s="233"/>
      <c r="BI5" s="233"/>
      <c r="BJ5" s="233"/>
      <c r="BK5" s="233"/>
      <c r="BL5" s="233"/>
      <c r="BM5" s="233"/>
      <c r="BN5" s="234"/>
      <c r="BO5" s="232" t="s">
        <v>10</v>
      </c>
      <c r="BP5" s="233"/>
      <c r="BQ5" s="233"/>
      <c r="BR5" s="233"/>
      <c r="BS5" s="233"/>
      <c r="BT5" s="233"/>
      <c r="BU5" s="233"/>
      <c r="BV5" s="233"/>
      <c r="BW5" s="233"/>
      <c r="BX5" s="234"/>
      <c r="BY5" s="232" t="s">
        <v>11</v>
      </c>
      <c r="BZ5" s="233"/>
      <c r="CA5" s="233"/>
      <c r="CB5" s="233"/>
      <c r="CC5" s="233"/>
      <c r="CD5" s="233"/>
      <c r="CE5" s="233"/>
      <c r="CF5" s="233"/>
      <c r="CG5" s="233"/>
      <c r="CH5" s="234"/>
      <c r="CI5" s="264" t="s">
        <v>7</v>
      </c>
      <c r="CJ5" s="265"/>
      <c r="CK5" s="265"/>
      <c r="CL5" s="265"/>
      <c r="CM5" s="265"/>
      <c r="CN5" s="265"/>
      <c r="CO5" s="265"/>
      <c r="CP5" s="265"/>
      <c r="CQ5" s="265"/>
      <c r="CR5" s="265"/>
      <c r="CS5" s="265"/>
      <c r="CT5" s="265"/>
      <c r="CU5" s="265"/>
      <c r="CV5" s="265"/>
      <c r="CW5" s="265"/>
      <c r="CX5" s="265"/>
      <c r="CY5" s="265"/>
      <c r="CZ5" s="265"/>
      <c r="DA5" s="265"/>
      <c r="DB5" s="266"/>
    </row>
    <row r="6" spans="2:106" ht="25.5" customHeight="1" thickBot="1">
      <c r="B6" s="129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1"/>
      <c r="Q6" s="129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1"/>
      <c r="AU6" s="235"/>
      <c r="AV6" s="236"/>
      <c r="AW6" s="236"/>
      <c r="AX6" s="236"/>
      <c r="AY6" s="236"/>
      <c r="AZ6" s="236"/>
      <c r="BA6" s="236"/>
      <c r="BB6" s="236"/>
      <c r="BC6" s="236"/>
      <c r="BD6" s="237"/>
      <c r="BE6" s="235"/>
      <c r="BF6" s="236"/>
      <c r="BG6" s="236"/>
      <c r="BH6" s="236"/>
      <c r="BI6" s="236"/>
      <c r="BJ6" s="236"/>
      <c r="BK6" s="236"/>
      <c r="BL6" s="236"/>
      <c r="BM6" s="236"/>
      <c r="BN6" s="237"/>
      <c r="BO6" s="235"/>
      <c r="BP6" s="236"/>
      <c r="BQ6" s="236"/>
      <c r="BR6" s="236"/>
      <c r="BS6" s="236"/>
      <c r="BT6" s="236"/>
      <c r="BU6" s="236"/>
      <c r="BV6" s="236"/>
      <c r="BW6" s="236"/>
      <c r="BX6" s="237"/>
      <c r="BY6" s="235"/>
      <c r="BZ6" s="236"/>
      <c r="CA6" s="236"/>
      <c r="CB6" s="236"/>
      <c r="CC6" s="236"/>
      <c r="CD6" s="236"/>
      <c r="CE6" s="236"/>
      <c r="CF6" s="236"/>
      <c r="CG6" s="236"/>
      <c r="CH6" s="237"/>
      <c r="CI6" s="419" t="s">
        <v>13</v>
      </c>
      <c r="CJ6" s="420"/>
      <c r="CK6" s="420"/>
      <c r="CL6" s="420"/>
      <c r="CM6" s="420"/>
      <c r="CN6" s="420"/>
      <c r="CO6" s="420"/>
      <c r="CP6" s="420"/>
      <c r="CQ6" s="420"/>
      <c r="CR6" s="420"/>
      <c r="CS6" s="420" t="s">
        <v>18</v>
      </c>
      <c r="CT6" s="420"/>
      <c r="CU6" s="420"/>
      <c r="CV6" s="420"/>
      <c r="CW6" s="420"/>
      <c r="CX6" s="420"/>
      <c r="CY6" s="420"/>
      <c r="CZ6" s="420"/>
      <c r="DA6" s="420"/>
      <c r="DB6" s="421"/>
    </row>
    <row r="7" spans="2:106" ht="18.75" customHeight="1" thickTop="1" thickBot="1">
      <c r="B7" s="164" t="s">
        <v>51</v>
      </c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167"/>
      <c r="N7" s="166" t="s">
        <v>50</v>
      </c>
      <c r="O7" s="165"/>
      <c r="P7" s="222"/>
      <c r="Q7" s="132" t="s">
        <v>59</v>
      </c>
      <c r="R7" s="133"/>
      <c r="S7" s="134"/>
      <c r="T7" s="132" t="s">
        <v>60</v>
      </c>
      <c r="U7" s="133"/>
      <c r="V7" s="134"/>
      <c r="W7" s="132" t="s">
        <v>61</v>
      </c>
      <c r="X7" s="133"/>
      <c r="Y7" s="134"/>
      <c r="Z7" s="132" t="s">
        <v>62</v>
      </c>
      <c r="AA7" s="133"/>
      <c r="AB7" s="134"/>
      <c r="AC7" s="132" t="s">
        <v>63</v>
      </c>
      <c r="AD7" s="133"/>
      <c r="AE7" s="134"/>
      <c r="AF7" s="132"/>
      <c r="AG7" s="133"/>
      <c r="AH7" s="134"/>
      <c r="AI7" s="132"/>
      <c r="AJ7" s="133"/>
      <c r="AK7" s="134"/>
      <c r="AL7" s="132"/>
      <c r="AM7" s="133"/>
      <c r="AN7" s="134"/>
      <c r="AO7" s="132"/>
      <c r="AP7" s="133"/>
      <c r="AQ7" s="134"/>
      <c r="AR7" s="132"/>
      <c r="AS7" s="133"/>
      <c r="AT7" s="134"/>
      <c r="AU7" s="164" t="s">
        <v>13</v>
      </c>
      <c r="AV7" s="165"/>
      <c r="AW7" s="165"/>
      <c r="AX7" s="165"/>
      <c r="AY7" s="165"/>
      <c r="AZ7" s="166" t="s">
        <v>19</v>
      </c>
      <c r="BA7" s="165"/>
      <c r="BB7" s="165"/>
      <c r="BC7" s="165"/>
      <c r="BD7" s="167"/>
      <c r="BE7" s="164" t="s">
        <v>13</v>
      </c>
      <c r="BF7" s="165"/>
      <c r="BG7" s="165"/>
      <c r="BH7" s="165"/>
      <c r="BI7" s="165"/>
      <c r="BJ7" s="166" t="s">
        <v>19</v>
      </c>
      <c r="BK7" s="165"/>
      <c r="BL7" s="165"/>
      <c r="BM7" s="165"/>
      <c r="BN7" s="167"/>
      <c r="BO7" s="164" t="s">
        <v>13</v>
      </c>
      <c r="BP7" s="165"/>
      <c r="BQ7" s="165"/>
      <c r="BR7" s="165"/>
      <c r="BS7" s="165"/>
      <c r="BT7" s="166" t="s">
        <v>19</v>
      </c>
      <c r="BU7" s="165"/>
      <c r="BV7" s="165"/>
      <c r="BW7" s="165"/>
      <c r="BX7" s="167"/>
      <c r="BY7" s="164" t="s">
        <v>13</v>
      </c>
      <c r="BZ7" s="165"/>
      <c r="CA7" s="165"/>
      <c r="CB7" s="165"/>
      <c r="CC7" s="165"/>
      <c r="CD7" s="166" t="s">
        <v>19</v>
      </c>
      <c r="CE7" s="165"/>
      <c r="CF7" s="165"/>
      <c r="CG7" s="165"/>
      <c r="CH7" s="222"/>
      <c r="CI7" s="164" t="s">
        <v>13</v>
      </c>
      <c r="CJ7" s="165"/>
      <c r="CK7" s="165"/>
      <c r="CL7" s="165"/>
      <c r="CM7" s="165"/>
      <c r="CN7" s="166" t="s">
        <v>19</v>
      </c>
      <c r="CO7" s="165"/>
      <c r="CP7" s="165"/>
      <c r="CQ7" s="165"/>
      <c r="CR7" s="222"/>
      <c r="CS7" s="261" t="s">
        <v>20</v>
      </c>
      <c r="CT7" s="262"/>
      <c r="CU7" s="262"/>
      <c r="CV7" s="262"/>
      <c r="CW7" s="262"/>
      <c r="CX7" s="262" t="s">
        <v>19</v>
      </c>
      <c r="CY7" s="262"/>
      <c r="CZ7" s="262"/>
      <c r="DA7" s="262"/>
      <c r="DB7" s="263"/>
    </row>
    <row r="8" spans="2:106" ht="18">
      <c r="B8" s="107" t="s">
        <v>58</v>
      </c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9"/>
      <c r="N8" s="110" t="s">
        <v>64</v>
      </c>
      <c r="O8" s="108"/>
      <c r="P8" s="111"/>
      <c r="Q8" s="112">
        <v>73</v>
      </c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>
        <v>126</v>
      </c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97"/>
      <c r="AS8" s="97"/>
      <c r="AT8" s="98"/>
      <c r="AU8" s="99">
        <v>47</v>
      </c>
      <c r="AV8" s="93"/>
      <c r="AW8" s="93"/>
      <c r="AX8" s="93"/>
      <c r="AY8" s="93"/>
      <c r="AZ8" s="94">
        <v>137.69999999999999</v>
      </c>
      <c r="BA8" s="94"/>
      <c r="BB8" s="94"/>
      <c r="BC8" s="94"/>
      <c r="BD8" s="94"/>
      <c r="BE8" s="93">
        <v>24</v>
      </c>
      <c r="BF8" s="93"/>
      <c r="BG8" s="93"/>
      <c r="BH8" s="93"/>
      <c r="BI8" s="93"/>
      <c r="BJ8" s="94">
        <v>61.2</v>
      </c>
      <c r="BK8" s="94"/>
      <c r="BL8" s="94"/>
      <c r="BM8" s="94"/>
      <c r="BN8" s="94"/>
      <c r="BO8" s="93">
        <v>74</v>
      </c>
      <c r="BP8" s="93"/>
      <c r="BQ8" s="93"/>
      <c r="BR8" s="93"/>
      <c r="BS8" s="93"/>
      <c r="BT8" s="94">
        <v>126.1</v>
      </c>
      <c r="BU8" s="94"/>
      <c r="BV8" s="94"/>
      <c r="BW8" s="94"/>
      <c r="BX8" s="94"/>
      <c r="BY8" s="93">
        <v>52</v>
      </c>
      <c r="BZ8" s="93"/>
      <c r="CA8" s="93"/>
      <c r="CB8" s="93"/>
      <c r="CC8" s="93"/>
      <c r="CD8" s="94">
        <v>88.6</v>
      </c>
      <c r="CE8" s="94"/>
      <c r="CF8" s="94"/>
      <c r="CG8" s="94"/>
      <c r="CH8" s="95"/>
      <c r="CI8" s="432">
        <f t="shared" ref="CI8:CI19" si="0">IF(B8="","",SUM(AU8,BE8,BO8,BY8))</f>
        <v>197</v>
      </c>
      <c r="CJ8" s="433"/>
      <c r="CK8" s="433"/>
      <c r="CL8" s="433"/>
      <c r="CM8" s="434"/>
      <c r="CN8" s="435">
        <f t="shared" ref="CN8:CN19" si="1">IF(B8="","",SUM(AZ8,BJ8,BT8,CD8))</f>
        <v>413.6</v>
      </c>
      <c r="CO8" s="436"/>
      <c r="CP8" s="436"/>
      <c r="CQ8" s="436"/>
      <c r="CR8" s="437"/>
      <c r="CS8" s="99"/>
      <c r="CT8" s="93"/>
      <c r="CU8" s="93"/>
      <c r="CV8" s="93"/>
      <c r="CW8" s="93"/>
      <c r="CX8" s="93"/>
      <c r="CY8" s="93"/>
      <c r="CZ8" s="93"/>
      <c r="DA8" s="93"/>
      <c r="DB8" s="96"/>
    </row>
    <row r="9" spans="2:106" s="57" customFormat="1" ht="18">
      <c r="B9" s="226" t="s">
        <v>65</v>
      </c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8"/>
      <c r="N9" s="240" t="s">
        <v>71</v>
      </c>
      <c r="O9" s="227"/>
      <c r="P9" s="241"/>
      <c r="Q9" s="160">
        <v>20</v>
      </c>
      <c r="R9" s="147"/>
      <c r="S9" s="147"/>
      <c r="T9" s="147">
        <v>75</v>
      </c>
      <c r="U9" s="147"/>
      <c r="V9" s="147"/>
      <c r="W9" s="147">
        <v>75</v>
      </c>
      <c r="X9" s="147"/>
      <c r="Y9" s="147"/>
      <c r="Z9" s="147">
        <v>133</v>
      </c>
      <c r="AA9" s="147"/>
      <c r="AB9" s="147"/>
      <c r="AC9" s="147">
        <v>31</v>
      </c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8"/>
      <c r="AU9" s="372">
        <v>9</v>
      </c>
      <c r="AV9" s="281"/>
      <c r="AW9" s="281"/>
      <c r="AX9" s="281"/>
      <c r="AY9" s="281"/>
      <c r="AZ9" s="269">
        <v>21.001000000000001</v>
      </c>
      <c r="BA9" s="269"/>
      <c r="BB9" s="269"/>
      <c r="BC9" s="269"/>
      <c r="BD9" s="269"/>
      <c r="BE9" s="281">
        <v>124</v>
      </c>
      <c r="BF9" s="281"/>
      <c r="BG9" s="281"/>
      <c r="BH9" s="281"/>
      <c r="BI9" s="281"/>
      <c r="BJ9" s="269">
        <v>213.10000000000002</v>
      </c>
      <c r="BK9" s="269"/>
      <c r="BL9" s="269"/>
      <c r="BM9" s="269"/>
      <c r="BN9" s="269"/>
      <c r="BO9" s="281">
        <v>111</v>
      </c>
      <c r="BP9" s="281"/>
      <c r="BQ9" s="281"/>
      <c r="BR9" s="281"/>
      <c r="BS9" s="281"/>
      <c r="BT9" s="269">
        <v>183</v>
      </c>
      <c r="BU9" s="269"/>
      <c r="BV9" s="269"/>
      <c r="BW9" s="269"/>
      <c r="BX9" s="269"/>
      <c r="BY9" s="281">
        <v>66</v>
      </c>
      <c r="BZ9" s="281"/>
      <c r="CA9" s="281"/>
      <c r="CB9" s="281"/>
      <c r="CC9" s="281"/>
      <c r="CD9" s="269">
        <v>115.602</v>
      </c>
      <c r="CE9" s="269"/>
      <c r="CF9" s="269"/>
      <c r="CG9" s="269"/>
      <c r="CH9" s="310"/>
      <c r="CI9" s="297">
        <f t="shared" si="0"/>
        <v>310</v>
      </c>
      <c r="CJ9" s="298"/>
      <c r="CK9" s="298"/>
      <c r="CL9" s="298"/>
      <c r="CM9" s="299"/>
      <c r="CN9" s="300">
        <f t="shared" si="1"/>
        <v>532.70299999999997</v>
      </c>
      <c r="CO9" s="301"/>
      <c r="CP9" s="301"/>
      <c r="CQ9" s="301"/>
      <c r="CR9" s="302"/>
      <c r="CS9" s="372"/>
      <c r="CT9" s="281"/>
      <c r="CU9" s="281"/>
      <c r="CV9" s="281"/>
      <c r="CW9" s="281"/>
      <c r="CX9" s="281"/>
      <c r="CY9" s="281"/>
      <c r="CZ9" s="281"/>
      <c r="DA9" s="281"/>
      <c r="DB9" s="373"/>
    </row>
    <row r="10" spans="2:106" ht="20.100000000000001" customHeight="1">
      <c r="B10" s="203" t="s">
        <v>66</v>
      </c>
      <c r="C10" s="204"/>
      <c r="D10" s="204"/>
      <c r="E10" s="204"/>
      <c r="F10" s="204"/>
      <c r="G10" s="204"/>
      <c r="H10" s="204"/>
      <c r="I10" s="204"/>
      <c r="J10" s="204"/>
      <c r="K10" s="204"/>
      <c r="L10" s="204"/>
      <c r="M10" s="205"/>
      <c r="N10" s="252" t="s">
        <v>72</v>
      </c>
      <c r="O10" s="204"/>
      <c r="P10" s="253"/>
      <c r="Q10" s="171"/>
      <c r="R10" s="139"/>
      <c r="S10" s="139"/>
      <c r="T10" s="139"/>
      <c r="U10" s="139"/>
      <c r="V10" s="139"/>
      <c r="W10" s="139"/>
      <c r="X10" s="139"/>
      <c r="Y10" s="139"/>
      <c r="Z10" s="139">
        <v>50</v>
      </c>
      <c r="AA10" s="139"/>
      <c r="AB10" s="139"/>
      <c r="AC10" s="139"/>
      <c r="AD10" s="139"/>
      <c r="AE10" s="139"/>
      <c r="AF10" s="139"/>
      <c r="AG10" s="139"/>
      <c r="AH10" s="139"/>
      <c r="AI10" s="139"/>
      <c r="AJ10" s="139"/>
      <c r="AK10" s="139"/>
      <c r="AL10" s="139"/>
      <c r="AM10" s="139"/>
      <c r="AN10" s="139"/>
      <c r="AO10" s="139"/>
      <c r="AP10" s="139"/>
      <c r="AQ10" s="139"/>
      <c r="AR10" s="139"/>
      <c r="AS10" s="139"/>
      <c r="AT10" s="140"/>
      <c r="AU10" s="405"/>
      <c r="AV10" s="288"/>
      <c r="AW10" s="288"/>
      <c r="AX10" s="288"/>
      <c r="AY10" s="288"/>
      <c r="AZ10" s="278"/>
      <c r="BA10" s="278"/>
      <c r="BB10" s="278"/>
      <c r="BC10" s="278"/>
      <c r="BD10" s="278"/>
      <c r="BE10" s="288"/>
      <c r="BF10" s="288"/>
      <c r="BG10" s="288"/>
      <c r="BH10" s="288"/>
      <c r="BI10" s="288"/>
      <c r="BJ10" s="278"/>
      <c r="BK10" s="278"/>
      <c r="BL10" s="278"/>
      <c r="BM10" s="278"/>
      <c r="BN10" s="278"/>
      <c r="BO10" s="288"/>
      <c r="BP10" s="288"/>
      <c r="BQ10" s="288"/>
      <c r="BR10" s="288"/>
      <c r="BS10" s="288"/>
      <c r="BT10" s="278"/>
      <c r="BU10" s="278"/>
      <c r="BV10" s="278"/>
      <c r="BW10" s="278"/>
      <c r="BX10" s="278"/>
      <c r="BY10" s="288">
        <v>50</v>
      </c>
      <c r="BZ10" s="288"/>
      <c r="CA10" s="288"/>
      <c r="CB10" s="288"/>
      <c r="CC10" s="288"/>
      <c r="CD10" s="278">
        <v>81.2</v>
      </c>
      <c r="CE10" s="278"/>
      <c r="CF10" s="278"/>
      <c r="CG10" s="278"/>
      <c r="CH10" s="309"/>
      <c r="CI10" s="345">
        <f t="shared" ref="CI10" si="2">IF(B10="","",SUM(AU10,BE10,BO10,BY10))</f>
        <v>50</v>
      </c>
      <c r="CJ10" s="346"/>
      <c r="CK10" s="346"/>
      <c r="CL10" s="346"/>
      <c r="CM10" s="347"/>
      <c r="CN10" s="348">
        <f t="shared" ref="CN10" si="3">IF(B10="","",SUM(AZ10,BJ10,BT10,CD10))</f>
        <v>81.2</v>
      </c>
      <c r="CO10" s="349"/>
      <c r="CP10" s="349"/>
      <c r="CQ10" s="349"/>
      <c r="CR10" s="350"/>
      <c r="CS10" s="405"/>
      <c r="CT10" s="288"/>
      <c r="CU10" s="288"/>
      <c r="CV10" s="288"/>
      <c r="CW10" s="288"/>
      <c r="CX10" s="288"/>
      <c r="CY10" s="288"/>
      <c r="CZ10" s="288"/>
      <c r="DA10" s="288"/>
      <c r="DB10" s="422"/>
    </row>
    <row r="11" spans="2:106" ht="20.100000000000001" customHeight="1">
      <c r="B11" s="209" t="s">
        <v>67</v>
      </c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210"/>
      <c r="N11" s="178" t="s">
        <v>73</v>
      </c>
      <c r="O11" s="179"/>
      <c r="P11" s="180"/>
      <c r="Q11" s="258">
        <v>8</v>
      </c>
      <c r="R11" s="135"/>
      <c r="S11" s="135"/>
      <c r="T11" s="135">
        <v>5</v>
      </c>
      <c r="U11" s="135"/>
      <c r="V11" s="135"/>
      <c r="W11" s="135">
        <v>17</v>
      </c>
      <c r="X11" s="135"/>
      <c r="Y11" s="135"/>
      <c r="Z11" s="135"/>
      <c r="AA11" s="135"/>
      <c r="AB11" s="135"/>
      <c r="AC11" s="135">
        <v>87</v>
      </c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6"/>
      <c r="AU11" s="368">
        <v>8</v>
      </c>
      <c r="AV11" s="274"/>
      <c r="AW11" s="274"/>
      <c r="AX11" s="274"/>
      <c r="AY11" s="274"/>
      <c r="AZ11" s="238">
        <v>15.7</v>
      </c>
      <c r="BA11" s="238"/>
      <c r="BB11" s="238"/>
      <c r="BC11" s="238"/>
      <c r="BD11" s="238"/>
      <c r="BE11" s="274">
        <v>77</v>
      </c>
      <c r="BF11" s="274"/>
      <c r="BG11" s="274"/>
      <c r="BH11" s="274"/>
      <c r="BI11" s="274"/>
      <c r="BJ11" s="238">
        <v>112.5</v>
      </c>
      <c r="BK11" s="238"/>
      <c r="BL11" s="238"/>
      <c r="BM11" s="238"/>
      <c r="BN11" s="238"/>
      <c r="BO11" s="274"/>
      <c r="BP11" s="274"/>
      <c r="BQ11" s="274"/>
      <c r="BR11" s="274"/>
      <c r="BS11" s="274"/>
      <c r="BT11" s="238"/>
      <c r="BU11" s="238"/>
      <c r="BV11" s="238"/>
      <c r="BW11" s="238"/>
      <c r="BX11" s="238"/>
      <c r="BY11" s="274">
        <v>17</v>
      </c>
      <c r="BZ11" s="274"/>
      <c r="CA11" s="274"/>
      <c r="CB11" s="274"/>
      <c r="CC11" s="274"/>
      <c r="CD11" s="238">
        <v>28.31</v>
      </c>
      <c r="CE11" s="238"/>
      <c r="CF11" s="238"/>
      <c r="CG11" s="238"/>
      <c r="CH11" s="311"/>
      <c r="CI11" s="374">
        <f>IF(B11="","",SUM(AU11,BE11,BO11,BY11))</f>
        <v>102</v>
      </c>
      <c r="CJ11" s="375"/>
      <c r="CK11" s="375"/>
      <c r="CL11" s="375"/>
      <c r="CM11" s="376"/>
      <c r="CN11" s="377">
        <f>IF(B11="","",SUM(AZ11,BJ11,BT11,CD11))</f>
        <v>156.51</v>
      </c>
      <c r="CO11" s="378"/>
      <c r="CP11" s="378"/>
      <c r="CQ11" s="378"/>
      <c r="CR11" s="379"/>
      <c r="CS11" s="368"/>
      <c r="CT11" s="274"/>
      <c r="CU11" s="274"/>
      <c r="CV11" s="274"/>
      <c r="CW11" s="274"/>
      <c r="CX11" s="274"/>
      <c r="CY11" s="274"/>
      <c r="CZ11" s="274"/>
      <c r="DA11" s="274"/>
      <c r="DB11" s="369"/>
    </row>
    <row r="12" spans="2:106" ht="18">
      <c r="B12" s="200" t="s">
        <v>68</v>
      </c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2"/>
      <c r="N12" s="250" t="s">
        <v>74</v>
      </c>
      <c r="O12" s="201"/>
      <c r="P12" s="251"/>
      <c r="Q12" s="170">
        <v>46</v>
      </c>
      <c r="R12" s="143"/>
      <c r="S12" s="143"/>
      <c r="T12" s="143">
        <v>16</v>
      </c>
      <c r="U12" s="143"/>
      <c r="V12" s="143"/>
      <c r="W12" s="143">
        <v>37</v>
      </c>
      <c r="X12" s="143"/>
      <c r="Y12" s="143"/>
      <c r="Z12" s="143"/>
      <c r="AA12" s="143"/>
      <c r="AB12" s="143"/>
      <c r="AC12" s="143">
        <v>72</v>
      </c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51"/>
      <c r="AU12" s="294">
        <v>113</v>
      </c>
      <c r="AV12" s="287"/>
      <c r="AW12" s="287"/>
      <c r="AX12" s="287"/>
      <c r="AY12" s="287"/>
      <c r="AZ12" s="277">
        <v>171.1</v>
      </c>
      <c r="BA12" s="277"/>
      <c r="BB12" s="277"/>
      <c r="BC12" s="277"/>
      <c r="BD12" s="277"/>
      <c r="BE12" s="287"/>
      <c r="BF12" s="287"/>
      <c r="BG12" s="287"/>
      <c r="BH12" s="287"/>
      <c r="BI12" s="287"/>
      <c r="BJ12" s="277"/>
      <c r="BK12" s="277"/>
      <c r="BL12" s="277"/>
      <c r="BM12" s="277"/>
      <c r="BN12" s="277"/>
      <c r="BO12" s="287"/>
      <c r="BP12" s="287"/>
      <c r="BQ12" s="287"/>
      <c r="BR12" s="287"/>
      <c r="BS12" s="287"/>
      <c r="BT12" s="277"/>
      <c r="BU12" s="277"/>
      <c r="BV12" s="277"/>
      <c r="BW12" s="277"/>
      <c r="BX12" s="277"/>
      <c r="BY12" s="287"/>
      <c r="BZ12" s="287"/>
      <c r="CA12" s="287"/>
      <c r="CB12" s="287"/>
      <c r="CC12" s="287"/>
      <c r="CD12" s="277"/>
      <c r="CE12" s="277"/>
      <c r="CF12" s="277"/>
      <c r="CG12" s="277"/>
      <c r="CH12" s="308"/>
      <c r="CI12" s="386">
        <f>IF(B12="","",SUM(AU12,BE12,BO12,BY12))</f>
        <v>113</v>
      </c>
      <c r="CJ12" s="387"/>
      <c r="CK12" s="387"/>
      <c r="CL12" s="387"/>
      <c r="CM12" s="388"/>
      <c r="CN12" s="389">
        <f>IF(B12="","",SUM(AZ12,BJ12,BT12,CD12))</f>
        <v>171.1</v>
      </c>
      <c r="CO12" s="390"/>
      <c r="CP12" s="390"/>
      <c r="CQ12" s="390"/>
      <c r="CR12" s="391"/>
      <c r="CS12" s="294"/>
      <c r="CT12" s="287"/>
      <c r="CU12" s="287"/>
      <c r="CV12" s="287"/>
      <c r="CW12" s="287"/>
      <c r="CX12" s="287"/>
      <c r="CY12" s="287"/>
      <c r="CZ12" s="287"/>
      <c r="DA12" s="287"/>
      <c r="DB12" s="295"/>
    </row>
    <row r="13" spans="2:106" ht="20.100000000000001" customHeight="1">
      <c r="B13" s="175" t="s">
        <v>69</v>
      </c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7"/>
      <c r="N13" s="189" t="s">
        <v>75</v>
      </c>
      <c r="O13" s="176"/>
      <c r="P13" s="190"/>
      <c r="Q13" s="158">
        <v>273</v>
      </c>
      <c r="R13" s="124"/>
      <c r="S13" s="124"/>
      <c r="T13" s="124">
        <v>103</v>
      </c>
      <c r="U13" s="124"/>
      <c r="V13" s="124"/>
      <c r="W13" s="124">
        <v>153</v>
      </c>
      <c r="X13" s="124"/>
      <c r="Y13" s="124"/>
      <c r="Z13" s="124">
        <v>1042</v>
      </c>
      <c r="AA13" s="124"/>
      <c r="AB13" s="124"/>
      <c r="AC13" s="124">
        <v>437</v>
      </c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5"/>
      <c r="AU13" s="106">
        <v>422</v>
      </c>
      <c r="AV13" s="76"/>
      <c r="AW13" s="76"/>
      <c r="AX13" s="76"/>
      <c r="AY13" s="76"/>
      <c r="AZ13" s="86">
        <v>620.30499999999995</v>
      </c>
      <c r="BA13" s="86"/>
      <c r="BB13" s="86"/>
      <c r="BC13" s="86"/>
      <c r="BD13" s="86"/>
      <c r="BE13" s="76">
        <v>391</v>
      </c>
      <c r="BF13" s="76"/>
      <c r="BG13" s="76"/>
      <c r="BH13" s="76"/>
      <c r="BI13" s="76"/>
      <c r="BJ13" s="86">
        <v>664.90200000000004</v>
      </c>
      <c r="BK13" s="86"/>
      <c r="BL13" s="86"/>
      <c r="BM13" s="86"/>
      <c r="BN13" s="86"/>
      <c r="BO13" s="76">
        <v>268</v>
      </c>
      <c r="BP13" s="76"/>
      <c r="BQ13" s="76"/>
      <c r="BR13" s="76"/>
      <c r="BS13" s="76"/>
      <c r="BT13" s="86">
        <v>472.202</v>
      </c>
      <c r="BU13" s="86"/>
      <c r="BV13" s="86"/>
      <c r="BW13" s="86"/>
      <c r="BX13" s="86"/>
      <c r="BY13" s="76">
        <v>157</v>
      </c>
      <c r="BZ13" s="76"/>
      <c r="CA13" s="76"/>
      <c r="CB13" s="76"/>
      <c r="CC13" s="76"/>
      <c r="CD13" s="86">
        <v>265.90100000000001</v>
      </c>
      <c r="CE13" s="86"/>
      <c r="CF13" s="86"/>
      <c r="CG13" s="86"/>
      <c r="CH13" s="87"/>
      <c r="CI13" s="425">
        <f>IF(B13="","",SUM(AU13,BE13,BO13,BY13))</f>
        <v>1238</v>
      </c>
      <c r="CJ13" s="426"/>
      <c r="CK13" s="426"/>
      <c r="CL13" s="426"/>
      <c r="CM13" s="427"/>
      <c r="CN13" s="428">
        <f>IF(B13="","",SUM(AZ13,BJ13,BT13,CD13))</f>
        <v>2023.31</v>
      </c>
      <c r="CO13" s="429"/>
      <c r="CP13" s="429"/>
      <c r="CQ13" s="429"/>
      <c r="CR13" s="430"/>
      <c r="CS13" s="106"/>
      <c r="CT13" s="76"/>
      <c r="CU13" s="76"/>
      <c r="CV13" s="76"/>
      <c r="CW13" s="76"/>
      <c r="CX13" s="76"/>
      <c r="CY13" s="76"/>
      <c r="CZ13" s="76"/>
      <c r="DA13" s="76"/>
      <c r="DB13" s="424"/>
    </row>
    <row r="14" spans="2:106" ht="20.100000000000001" customHeight="1" thickBot="1">
      <c r="B14" s="197" t="s">
        <v>70</v>
      </c>
      <c r="C14" s="198"/>
      <c r="D14" s="198"/>
      <c r="E14" s="198"/>
      <c r="F14" s="198"/>
      <c r="G14" s="198"/>
      <c r="H14" s="198"/>
      <c r="I14" s="198"/>
      <c r="J14" s="198"/>
      <c r="K14" s="198"/>
      <c r="L14" s="198"/>
      <c r="M14" s="199"/>
      <c r="N14" s="248" t="s">
        <v>76</v>
      </c>
      <c r="O14" s="198"/>
      <c r="P14" s="249"/>
      <c r="Q14" s="169">
        <v>57</v>
      </c>
      <c r="R14" s="144"/>
      <c r="S14" s="144"/>
      <c r="T14" s="144">
        <v>54</v>
      </c>
      <c r="U14" s="144"/>
      <c r="V14" s="144"/>
      <c r="W14" s="144">
        <v>48</v>
      </c>
      <c r="X14" s="144"/>
      <c r="Y14" s="144"/>
      <c r="Z14" s="144">
        <v>292</v>
      </c>
      <c r="AA14" s="144"/>
      <c r="AB14" s="144"/>
      <c r="AC14" s="144">
        <v>14</v>
      </c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6"/>
      <c r="AU14" s="366">
        <v>48</v>
      </c>
      <c r="AV14" s="286"/>
      <c r="AW14" s="286"/>
      <c r="AX14" s="286"/>
      <c r="AY14" s="286"/>
      <c r="AZ14" s="273">
        <v>90.501000000000005</v>
      </c>
      <c r="BA14" s="273"/>
      <c r="BB14" s="273"/>
      <c r="BC14" s="273"/>
      <c r="BD14" s="273"/>
      <c r="BE14" s="286">
        <v>30</v>
      </c>
      <c r="BF14" s="286"/>
      <c r="BG14" s="286"/>
      <c r="BH14" s="286"/>
      <c r="BI14" s="286"/>
      <c r="BJ14" s="273">
        <v>46.7</v>
      </c>
      <c r="BK14" s="273"/>
      <c r="BL14" s="273"/>
      <c r="BM14" s="273"/>
      <c r="BN14" s="273"/>
      <c r="BO14" s="286"/>
      <c r="BP14" s="286"/>
      <c r="BQ14" s="286"/>
      <c r="BR14" s="286"/>
      <c r="BS14" s="286"/>
      <c r="BT14" s="273"/>
      <c r="BU14" s="273"/>
      <c r="BV14" s="273"/>
      <c r="BW14" s="273"/>
      <c r="BX14" s="273"/>
      <c r="BY14" s="286"/>
      <c r="BZ14" s="286"/>
      <c r="CA14" s="286"/>
      <c r="CB14" s="286"/>
      <c r="CC14" s="286"/>
      <c r="CD14" s="273"/>
      <c r="CE14" s="273"/>
      <c r="CF14" s="273"/>
      <c r="CG14" s="273"/>
      <c r="CH14" s="307"/>
      <c r="CI14" s="320">
        <f t="shared" si="0"/>
        <v>78</v>
      </c>
      <c r="CJ14" s="321"/>
      <c r="CK14" s="321"/>
      <c r="CL14" s="321"/>
      <c r="CM14" s="322"/>
      <c r="CN14" s="392">
        <f t="shared" si="1"/>
        <v>137.20100000000002</v>
      </c>
      <c r="CO14" s="393"/>
      <c r="CP14" s="393"/>
      <c r="CQ14" s="393"/>
      <c r="CR14" s="394"/>
      <c r="CS14" s="366"/>
      <c r="CT14" s="286"/>
      <c r="CU14" s="286"/>
      <c r="CV14" s="286"/>
      <c r="CW14" s="286"/>
      <c r="CX14" s="286"/>
      <c r="CY14" s="286"/>
      <c r="CZ14" s="286"/>
      <c r="DA14" s="286"/>
      <c r="DB14" s="293"/>
    </row>
    <row r="15" spans="2:106" ht="20.100000000000001" hidden="1" customHeight="1">
      <c r="B15" s="191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3"/>
      <c r="N15" s="244"/>
      <c r="O15" s="192"/>
      <c r="P15" s="245"/>
      <c r="Q15" s="162"/>
      <c r="R15" s="149"/>
      <c r="S15" s="149"/>
      <c r="T15" s="149"/>
      <c r="U15" s="149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50"/>
      <c r="AU15" s="313"/>
      <c r="AV15" s="283"/>
      <c r="AW15" s="283"/>
      <c r="AX15" s="283"/>
      <c r="AY15" s="283"/>
      <c r="AZ15" s="271"/>
      <c r="BA15" s="271"/>
      <c r="BB15" s="271"/>
      <c r="BC15" s="271"/>
      <c r="BD15" s="271"/>
      <c r="BE15" s="283"/>
      <c r="BF15" s="283"/>
      <c r="BG15" s="283"/>
      <c r="BH15" s="283"/>
      <c r="BI15" s="283"/>
      <c r="BJ15" s="271"/>
      <c r="BK15" s="271"/>
      <c r="BL15" s="271"/>
      <c r="BM15" s="271"/>
      <c r="BN15" s="271"/>
      <c r="BO15" s="283"/>
      <c r="BP15" s="283"/>
      <c r="BQ15" s="283"/>
      <c r="BR15" s="283"/>
      <c r="BS15" s="283"/>
      <c r="BT15" s="271"/>
      <c r="BU15" s="271"/>
      <c r="BV15" s="271"/>
      <c r="BW15" s="271"/>
      <c r="BX15" s="271"/>
      <c r="BY15" s="283"/>
      <c r="BZ15" s="283"/>
      <c r="CA15" s="283"/>
      <c r="CB15" s="283"/>
      <c r="CC15" s="283"/>
      <c r="CD15" s="271"/>
      <c r="CE15" s="271"/>
      <c r="CF15" s="271"/>
      <c r="CG15" s="271"/>
      <c r="CH15" s="305"/>
      <c r="CI15" s="360" t="str">
        <f t="shared" si="0"/>
        <v/>
      </c>
      <c r="CJ15" s="361"/>
      <c r="CK15" s="361"/>
      <c r="CL15" s="361"/>
      <c r="CM15" s="362"/>
      <c r="CN15" s="363" t="str">
        <f t="shared" si="1"/>
        <v/>
      </c>
      <c r="CO15" s="364"/>
      <c r="CP15" s="364"/>
      <c r="CQ15" s="364"/>
      <c r="CR15" s="365"/>
      <c r="CS15" s="313"/>
      <c r="CT15" s="283"/>
      <c r="CU15" s="283"/>
      <c r="CV15" s="283"/>
      <c r="CW15" s="283"/>
      <c r="CX15" s="283"/>
      <c r="CY15" s="283"/>
      <c r="CZ15" s="283"/>
      <c r="DA15" s="283"/>
      <c r="DB15" s="359"/>
    </row>
    <row r="16" spans="2:106" ht="20.100000000000001" hidden="1" customHeight="1">
      <c r="B16" s="211"/>
      <c r="C16" s="182"/>
      <c r="D16" s="182"/>
      <c r="E16" s="182"/>
      <c r="F16" s="182"/>
      <c r="G16" s="182"/>
      <c r="H16" s="182"/>
      <c r="I16" s="182"/>
      <c r="J16" s="182"/>
      <c r="K16" s="182"/>
      <c r="L16" s="182"/>
      <c r="M16" s="212"/>
      <c r="N16" s="181"/>
      <c r="O16" s="182"/>
      <c r="P16" s="183"/>
      <c r="Q16" s="259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8"/>
      <c r="AU16" s="370"/>
      <c r="AV16" s="275"/>
      <c r="AW16" s="275"/>
      <c r="AX16" s="275"/>
      <c r="AY16" s="275"/>
      <c r="AZ16" s="239"/>
      <c r="BA16" s="239"/>
      <c r="BB16" s="239"/>
      <c r="BC16" s="239"/>
      <c r="BD16" s="239"/>
      <c r="BE16" s="275"/>
      <c r="BF16" s="275"/>
      <c r="BG16" s="275"/>
      <c r="BH16" s="275"/>
      <c r="BI16" s="275"/>
      <c r="BJ16" s="239"/>
      <c r="BK16" s="239"/>
      <c r="BL16" s="239"/>
      <c r="BM16" s="239"/>
      <c r="BN16" s="239"/>
      <c r="BO16" s="275"/>
      <c r="BP16" s="275"/>
      <c r="BQ16" s="275"/>
      <c r="BR16" s="275"/>
      <c r="BS16" s="275"/>
      <c r="BT16" s="239"/>
      <c r="BU16" s="239"/>
      <c r="BV16" s="239"/>
      <c r="BW16" s="239"/>
      <c r="BX16" s="239"/>
      <c r="BY16" s="275"/>
      <c r="BZ16" s="275"/>
      <c r="CA16" s="275"/>
      <c r="CB16" s="275"/>
      <c r="CC16" s="275"/>
      <c r="CD16" s="239"/>
      <c r="CE16" s="239"/>
      <c r="CF16" s="239"/>
      <c r="CG16" s="239"/>
      <c r="CH16" s="312"/>
      <c r="CI16" s="380" t="str">
        <f t="shared" si="0"/>
        <v/>
      </c>
      <c r="CJ16" s="381"/>
      <c r="CK16" s="381"/>
      <c r="CL16" s="381"/>
      <c r="CM16" s="382"/>
      <c r="CN16" s="383" t="str">
        <f t="shared" si="1"/>
        <v/>
      </c>
      <c r="CO16" s="384"/>
      <c r="CP16" s="384"/>
      <c r="CQ16" s="384"/>
      <c r="CR16" s="385"/>
      <c r="CS16" s="370"/>
      <c r="CT16" s="275"/>
      <c r="CU16" s="275"/>
      <c r="CV16" s="275"/>
      <c r="CW16" s="275"/>
      <c r="CX16" s="275"/>
      <c r="CY16" s="275"/>
      <c r="CZ16" s="275"/>
      <c r="DA16" s="275"/>
      <c r="DB16" s="371"/>
    </row>
    <row r="17" spans="2:107" ht="18" hidden="1">
      <c r="B17" s="223"/>
      <c r="C17" s="224"/>
      <c r="D17" s="224"/>
      <c r="E17" s="224"/>
      <c r="F17" s="224"/>
      <c r="G17" s="224"/>
      <c r="H17" s="224"/>
      <c r="I17" s="224"/>
      <c r="J17" s="224"/>
      <c r="K17" s="224"/>
      <c r="L17" s="224"/>
      <c r="M17" s="225"/>
      <c r="N17" s="256"/>
      <c r="O17" s="224"/>
      <c r="P17" s="257"/>
      <c r="Q17" s="159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  <c r="AM17" s="152"/>
      <c r="AN17" s="152"/>
      <c r="AO17" s="152"/>
      <c r="AP17" s="152"/>
      <c r="AQ17" s="152"/>
      <c r="AR17" s="152"/>
      <c r="AS17" s="152"/>
      <c r="AT17" s="153"/>
      <c r="AU17" s="343"/>
      <c r="AV17" s="284"/>
      <c r="AW17" s="284"/>
      <c r="AX17" s="284"/>
      <c r="AY17" s="284"/>
      <c r="AZ17" s="268"/>
      <c r="BA17" s="268"/>
      <c r="BB17" s="268"/>
      <c r="BC17" s="268"/>
      <c r="BD17" s="268"/>
      <c r="BE17" s="284"/>
      <c r="BF17" s="284"/>
      <c r="BG17" s="284"/>
      <c r="BH17" s="284"/>
      <c r="BI17" s="284"/>
      <c r="BJ17" s="268"/>
      <c r="BK17" s="268"/>
      <c r="BL17" s="268"/>
      <c r="BM17" s="268"/>
      <c r="BN17" s="268"/>
      <c r="BO17" s="284"/>
      <c r="BP17" s="284"/>
      <c r="BQ17" s="284"/>
      <c r="BR17" s="284"/>
      <c r="BS17" s="284"/>
      <c r="BT17" s="268"/>
      <c r="BU17" s="268"/>
      <c r="BV17" s="268"/>
      <c r="BW17" s="268"/>
      <c r="BX17" s="268"/>
      <c r="BY17" s="284"/>
      <c r="BZ17" s="284"/>
      <c r="CA17" s="284"/>
      <c r="CB17" s="284"/>
      <c r="CC17" s="284"/>
      <c r="CD17" s="268"/>
      <c r="CE17" s="268"/>
      <c r="CF17" s="268"/>
      <c r="CG17" s="268"/>
      <c r="CH17" s="291"/>
      <c r="CI17" s="352" t="str">
        <f t="shared" si="0"/>
        <v/>
      </c>
      <c r="CJ17" s="353"/>
      <c r="CK17" s="353"/>
      <c r="CL17" s="353"/>
      <c r="CM17" s="354"/>
      <c r="CN17" s="355" t="str">
        <f t="shared" si="1"/>
        <v/>
      </c>
      <c r="CO17" s="356"/>
      <c r="CP17" s="356"/>
      <c r="CQ17" s="356"/>
      <c r="CR17" s="357"/>
      <c r="CS17" s="343"/>
      <c r="CT17" s="284"/>
      <c r="CU17" s="284"/>
      <c r="CV17" s="284"/>
      <c r="CW17" s="284"/>
      <c r="CX17" s="284"/>
      <c r="CY17" s="284"/>
      <c r="CZ17" s="284"/>
      <c r="DA17" s="284"/>
      <c r="DB17" s="344"/>
    </row>
    <row r="18" spans="2:107" ht="20.100000000000001" hidden="1" customHeight="1">
      <c r="B18" s="206"/>
      <c r="C18" s="207"/>
      <c r="D18" s="207"/>
      <c r="E18" s="207"/>
      <c r="F18" s="207"/>
      <c r="G18" s="207"/>
      <c r="H18" s="207"/>
      <c r="I18" s="207"/>
      <c r="J18" s="207"/>
      <c r="K18" s="207"/>
      <c r="L18" s="207"/>
      <c r="M18" s="208"/>
      <c r="N18" s="254"/>
      <c r="O18" s="207"/>
      <c r="P18" s="255"/>
      <c r="Q18" s="215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2"/>
      <c r="AU18" s="303"/>
      <c r="AV18" s="280"/>
      <c r="AW18" s="280"/>
      <c r="AX18" s="280"/>
      <c r="AY18" s="280"/>
      <c r="AZ18" s="279"/>
      <c r="BA18" s="279"/>
      <c r="BB18" s="279"/>
      <c r="BC18" s="279"/>
      <c r="BD18" s="279"/>
      <c r="BE18" s="280"/>
      <c r="BF18" s="280"/>
      <c r="BG18" s="280"/>
      <c r="BH18" s="280"/>
      <c r="BI18" s="280"/>
      <c r="BJ18" s="279"/>
      <c r="BK18" s="279"/>
      <c r="BL18" s="279"/>
      <c r="BM18" s="279"/>
      <c r="BN18" s="279"/>
      <c r="BO18" s="280"/>
      <c r="BP18" s="280"/>
      <c r="BQ18" s="280"/>
      <c r="BR18" s="280"/>
      <c r="BS18" s="280"/>
      <c r="BT18" s="279"/>
      <c r="BU18" s="279"/>
      <c r="BV18" s="279"/>
      <c r="BW18" s="279"/>
      <c r="BX18" s="279"/>
      <c r="BY18" s="280"/>
      <c r="BZ18" s="280"/>
      <c r="CA18" s="280"/>
      <c r="CB18" s="280"/>
      <c r="CC18" s="280"/>
      <c r="CD18" s="279"/>
      <c r="CE18" s="279"/>
      <c r="CF18" s="279"/>
      <c r="CG18" s="279"/>
      <c r="CH18" s="290"/>
      <c r="CI18" s="329" t="str">
        <f t="shared" si="0"/>
        <v/>
      </c>
      <c r="CJ18" s="330"/>
      <c r="CK18" s="330"/>
      <c r="CL18" s="330"/>
      <c r="CM18" s="331"/>
      <c r="CN18" s="332" t="str">
        <f t="shared" si="1"/>
        <v/>
      </c>
      <c r="CO18" s="333"/>
      <c r="CP18" s="333"/>
      <c r="CQ18" s="333"/>
      <c r="CR18" s="334"/>
      <c r="CS18" s="303"/>
      <c r="CT18" s="280"/>
      <c r="CU18" s="280"/>
      <c r="CV18" s="280"/>
      <c r="CW18" s="280"/>
      <c r="CX18" s="280"/>
      <c r="CY18" s="280"/>
      <c r="CZ18" s="280"/>
      <c r="DA18" s="280"/>
      <c r="DB18" s="367"/>
    </row>
    <row r="19" spans="2:107" ht="20.100000000000001" hidden="1" customHeight="1">
      <c r="B19" s="194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6"/>
      <c r="N19" s="246"/>
      <c r="O19" s="195"/>
      <c r="P19" s="247"/>
      <c r="Q19" s="168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5"/>
      <c r="AU19" s="423"/>
      <c r="AV19" s="285"/>
      <c r="AW19" s="285"/>
      <c r="AX19" s="285"/>
      <c r="AY19" s="285"/>
      <c r="AZ19" s="272"/>
      <c r="BA19" s="272"/>
      <c r="BB19" s="272"/>
      <c r="BC19" s="272"/>
      <c r="BD19" s="272"/>
      <c r="BE19" s="285"/>
      <c r="BF19" s="285"/>
      <c r="BG19" s="285"/>
      <c r="BH19" s="285"/>
      <c r="BI19" s="285"/>
      <c r="BJ19" s="272"/>
      <c r="BK19" s="272"/>
      <c r="BL19" s="272"/>
      <c r="BM19" s="272"/>
      <c r="BN19" s="272"/>
      <c r="BO19" s="285"/>
      <c r="BP19" s="285"/>
      <c r="BQ19" s="285"/>
      <c r="BR19" s="285"/>
      <c r="BS19" s="285"/>
      <c r="BT19" s="272"/>
      <c r="BU19" s="272"/>
      <c r="BV19" s="272"/>
      <c r="BW19" s="272"/>
      <c r="BX19" s="272"/>
      <c r="BY19" s="285"/>
      <c r="BZ19" s="285"/>
      <c r="CA19" s="285"/>
      <c r="CB19" s="285"/>
      <c r="CC19" s="285"/>
      <c r="CD19" s="272"/>
      <c r="CE19" s="272"/>
      <c r="CF19" s="272"/>
      <c r="CG19" s="272"/>
      <c r="CH19" s="306"/>
      <c r="CI19" s="314" t="str">
        <f t="shared" si="0"/>
        <v/>
      </c>
      <c r="CJ19" s="315"/>
      <c r="CK19" s="315"/>
      <c r="CL19" s="315"/>
      <c r="CM19" s="316"/>
      <c r="CN19" s="317" t="str">
        <f t="shared" si="1"/>
        <v/>
      </c>
      <c r="CO19" s="318"/>
      <c r="CP19" s="318"/>
      <c r="CQ19" s="318"/>
      <c r="CR19" s="319"/>
      <c r="CS19" s="423"/>
      <c r="CT19" s="285"/>
      <c r="CU19" s="285"/>
      <c r="CV19" s="285"/>
      <c r="CW19" s="285"/>
      <c r="CX19" s="285"/>
      <c r="CY19" s="285"/>
      <c r="CZ19" s="285"/>
      <c r="DA19" s="285"/>
      <c r="DB19" s="431"/>
    </row>
    <row r="20" spans="2:107" ht="20.100000000000001" hidden="1" customHeight="1">
      <c r="B20" s="229"/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1"/>
      <c r="N20" s="242"/>
      <c r="O20" s="230"/>
      <c r="P20" s="243"/>
      <c r="Q20" s="161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5"/>
      <c r="AQ20" s="145"/>
      <c r="AR20" s="145"/>
      <c r="AS20" s="145"/>
      <c r="AT20" s="260"/>
      <c r="AU20" s="358"/>
      <c r="AV20" s="282"/>
      <c r="AW20" s="282"/>
      <c r="AX20" s="282"/>
      <c r="AY20" s="282"/>
      <c r="AZ20" s="270"/>
      <c r="BA20" s="270"/>
      <c r="BB20" s="270"/>
      <c r="BC20" s="270"/>
      <c r="BD20" s="270"/>
      <c r="BE20" s="282"/>
      <c r="BF20" s="282"/>
      <c r="BG20" s="282"/>
      <c r="BH20" s="282"/>
      <c r="BI20" s="282"/>
      <c r="BJ20" s="270"/>
      <c r="BK20" s="270"/>
      <c r="BL20" s="270"/>
      <c r="BM20" s="270"/>
      <c r="BN20" s="270"/>
      <c r="BO20" s="282"/>
      <c r="BP20" s="282"/>
      <c r="BQ20" s="282"/>
      <c r="BR20" s="282"/>
      <c r="BS20" s="282"/>
      <c r="BT20" s="270"/>
      <c r="BU20" s="270"/>
      <c r="BV20" s="270"/>
      <c r="BW20" s="270"/>
      <c r="BX20" s="270"/>
      <c r="BY20" s="282"/>
      <c r="BZ20" s="282"/>
      <c r="CA20" s="282"/>
      <c r="CB20" s="282"/>
      <c r="CC20" s="282"/>
      <c r="CD20" s="270"/>
      <c r="CE20" s="270"/>
      <c r="CF20" s="270"/>
      <c r="CG20" s="270"/>
      <c r="CH20" s="304"/>
      <c r="CI20" s="323" t="str">
        <f>IF(B20="","",SUM(AU20,BE20,BO20,BY20))</f>
        <v/>
      </c>
      <c r="CJ20" s="324"/>
      <c r="CK20" s="324"/>
      <c r="CL20" s="324"/>
      <c r="CM20" s="325"/>
      <c r="CN20" s="326" t="str">
        <f>IF(B20="","",SUM(AZ20,BJ20,BT20,CD20))</f>
        <v/>
      </c>
      <c r="CO20" s="327"/>
      <c r="CP20" s="327"/>
      <c r="CQ20" s="327"/>
      <c r="CR20" s="328"/>
      <c r="CS20" s="358"/>
      <c r="CT20" s="282"/>
      <c r="CU20" s="282"/>
      <c r="CV20" s="282"/>
      <c r="CW20" s="282"/>
      <c r="CX20" s="282"/>
      <c r="CY20" s="282"/>
      <c r="CZ20" s="282"/>
      <c r="DA20" s="282"/>
      <c r="DB20" s="351"/>
    </row>
    <row r="21" spans="2:107" ht="20.100000000000001" hidden="1" customHeight="1">
      <c r="B21" s="213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214"/>
      <c r="N21" s="184"/>
      <c r="O21" s="185"/>
      <c r="P21" s="186"/>
      <c r="Q21" s="156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2"/>
      <c r="AU21" s="335"/>
      <c r="AV21" s="276"/>
      <c r="AW21" s="276"/>
      <c r="AX21" s="276"/>
      <c r="AY21" s="276"/>
      <c r="AZ21" s="267"/>
      <c r="BA21" s="267"/>
      <c r="BB21" s="267"/>
      <c r="BC21" s="267"/>
      <c r="BD21" s="267"/>
      <c r="BE21" s="276"/>
      <c r="BF21" s="276"/>
      <c r="BG21" s="276"/>
      <c r="BH21" s="276"/>
      <c r="BI21" s="276"/>
      <c r="BJ21" s="267"/>
      <c r="BK21" s="267"/>
      <c r="BL21" s="267"/>
      <c r="BM21" s="267"/>
      <c r="BN21" s="267"/>
      <c r="BO21" s="276"/>
      <c r="BP21" s="276"/>
      <c r="BQ21" s="276"/>
      <c r="BR21" s="276"/>
      <c r="BS21" s="276"/>
      <c r="BT21" s="267"/>
      <c r="BU21" s="267"/>
      <c r="BV21" s="267"/>
      <c r="BW21" s="267"/>
      <c r="BX21" s="267"/>
      <c r="BY21" s="276"/>
      <c r="BZ21" s="276"/>
      <c r="CA21" s="276"/>
      <c r="CB21" s="276"/>
      <c r="CC21" s="276"/>
      <c r="CD21" s="267"/>
      <c r="CE21" s="267"/>
      <c r="CF21" s="267"/>
      <c r="CG21" s="267"/>
      <c r="CH21" s="289"/>
      <c r="CI21" s="337" t="str">
        <f t="shared" ref="CI21" si="4">IF(B21="","",SUM(AU21,BE21,BO21,BY21))</f>
        <v/>
      </c>
      <c r="CJ21" s="338"/>
      <c r="CK21" s="338"/>
      <c r="CL21" s="338"/>
      <c r="CM21" s="339"/>
      <c r="CN21" s="340" t="str">
        <f t="shared" ref="CN21" si="5">IF(B21="","",SUM(AZ21,BJ21,BT21,CD21))</f>
        <v/>
      </c>
      <c r="CO21" s="341"/>
      <c r="CP21" s="341"/>
      <c r="CQ21" s="341"/>
      <c r="CR21" s="342"/>
      <c r="CS21" s="335"/>
      <c r="CT21" s="276"/>
      <c r="CU21" s="276"/>
      <c r="CV21" s="276"/>
      <c r="CW21" s="276"/>
      <c r="CX21" s="276"/>
      <c r="CY21" s="276"/>
      <c r="CZ21" s="276"/>
      <c r="DA21" s="276"/>
      <c r="DB21" s="292"/>
    </row>
    <row r="22" spans="2:107" ht="20.100000000000001" hidden="1" customHeight="1" thickBot="1">
      <c r="B22" s="172"/>
      <c r="C22" s="173"/>
      <c r="D22" s="173"/>
      <c r="E22" s="173"/>
      <c r="F22" s="173"/>
      <c r="G22" s="173"/>
      <c r="H22" s="173"/>
      <c r="I22" s="173"/>
      <c r="J22" s="173"/>
      <c r="K22" s="173"/>
      <c r="L22" s="173"/>
      <c r="M22" s="174"/>
      <c r="N22" s="187"/>
      <c r="O22" s="173"/>
      <c r="P22" s="188"/>
      <c r="Q22" s="157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123"/>
      <c r="AU22" s="88"/>
      <c r="AV22" s="75"/>
      <c r="AW22" s="75"/>
      <c r="AX22" s="75"/>
      <c r="AY22" s="75"/>
      <c r="AZ22" s="84"/>
      <c r="BA22" s="84"/>
      <c r="BB22" s="84"/>
      <c r="BC22" s="84"/>
      <c r="BD22" s="84"/>
      <c r="BE22" s="75"/>
      <c r="BF22" s="75"/>
      <c r="BG22" s="75"/>
      <c r="BH22" s="75"/>
      <c r="BI22" s="75"/>
      <c r="BJ22" s="84"/>
      <c r="BK22" s="84"/>
      <c r="BL22" s="84"/>
      <c r="BM22" s="84"/>
      <c r="BN22" s="84"/>
      <c r="BO22" s="75"/>
      <c r="BP22" s="75"/>
      <c r="BQ22" s="75"/>
      <c r="BR22" s="75"/>
      <c r="BS22" s="75"/>
      <c r="BT22" s="84"/>
      <c r="BU22" s="84"/>
      <c r="BV22" s="84"/>
      <c r="BW22" s="84"/>
      <c r="BX22" s="84"/>
      <c r="BY22" s="75"/>
      <c r="BZ22" s="75"/>
      <c r="CA22" s="75"/>
      <c r="CB22" s="75"/>
      <c r="CC22" s="75"/>
      <c r="CD22" s="84"/>
      <c r="CE22" s="84"/>
      <c r="CF22" s="84"/>
      <c r="CG22" s="84"/>
      <c r="CH22" s="85"/>
      <c r="CI22" s="100" t="str">
        <f>IF(B22="","",SUM(AU22,BE22,BO22,BY22))</f>
        <v/>
      </c>
      <c r="CJ22" s="101"/>
      <c r="CK22" s="101"/>
      <c r="CL22" s="101"/>
      <c r="CM22" s="102"/>
      <c r="CN22" s="103" t="str">
        <f>IF(B22="","",SUM(AZ22,BJ22,BT22,CD22))</f>
        <v/>
      </c>
      <c r="CO22" s="104"/>
      <c r="CP22" s="104"/>
      <c r="CQ22" s="104"/>
      <c r="CR22" s="105"/>
      <c r="CS22" s="88"/>
      <c r="CT22" s="75"/>
      <c r="CU22" s="75"/>
      <c r="CV22" s="75"/>
      <c r="CW22" s="75"/>
      <c r="CX22" s="75"/>
      <c r="CY22" s="75"/>
      <c r="CZ22" s="75"/>
      <c r="DA22" s="75"/>
      <c r="DB22" s="336"/>
    </row>
    <row r="23" spans="2:107" ht="20.100000000000001" customHeight="1" thickTop="1" thickBot="1">
      <c r="B23" s="70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2">
        <f>SUM(Q7:S22)</f>
        <v>477</v>
      </c>
      <c r="R23" s="73"/>
      <c r="S23" s="74"/>
      <c r="T23" s="72">
        <f>SUM(T7:V22)</f>
        <v>253</v>
      </c>
      <c r="U23" s="73"/>
      <c r="V23" s="74"/>
      <c r="W23" s="72">
        <f>SUM(W7:Y22)</f>
        <v>330</v>
      </c>
      <c r="X23" s="73"/>
      <c r="Y23" s="74"/>
      <c r="Z23" s="72">
        <f>SUM(Z7:AB22)</f>
        <v>1517</v>
      </c>
      <c r="AA23" s="73"/>
      <c r="AB23" s="74"/>
      <c r="AC23" s="72">
        <f>SUM(AC7:AE22)</f>
        <v>767</v>
      </c>
      <c r="AD23" s="73"/>
      <c r="AE23" s="74"/>
      <c r="AF23" s="72">
        <f>SUM(AF7:AH22)</f>
        <v>0</v>
      </c>
      <c r="AG23" s="73"/>
      <c r="AH23" s="74"/>
      <c r="AI23" s="72">
        <f>SUM(AI7:AK22)</f>
        <v>0</v>
      </c>
      <c r="AJ23" s="73"/>
      <c r="AK23" s="74"/>
      <c r="AL23" s="72">
        <f>SUM(AL7:AN22)</f>
        <v>0</v>
      </c>
      <c r="AM23" s="73"/>
      <c r="AN23" s="74"/>
      <c r="AO23" s="72">
        <f>SUM(AO7:AQ22)</f>
        <v>0</v>
      </c>
      <c r="AP23" s="73"/>
      <c r="AQ23" s="74"/>
      <c r="AR23" s="72">
        <f>SUM(AR7:AT22)</f>
        <v>0</v>
      </c>
      <c r="AS23" s="73"/>
      <c r="AT23" s="74"/>
      <c r="AU23" s="77">
        <f>SUM(AU7:AY22)</f>
        <v>647</v>
      </c>
      <c r="AV23" s="78"/>
      <c r="AW23" s="78"/>
      <c r="AX23" s="78"/>
      <c r="AY23" s="79"/>
      <c r="AZ23" s="81">
        <f>SUM(AZ7:BD22)</f>
        <v>1056.307</v>
      </c>
      <c r="BA23" s="82"/>
      <c r="BB23" s="82"/>
      <c r="BC23" s="82"/>
      <c r="BD23" s="83"/>
      <c r="BE23" s="77">
        <f>SUM(BE7:BI22)</f>
        <v>646</v>
      </c>
      <c r="BF23" s="78"/>
      <c r="BG23" s="78"/>
      <c r="BH23" s="78"/>
      <c r="BI23" s="79"/>
      <c r="BJ23" s="81">
        <f>SUM(BJ7:BN22)</f>
        <v>1098.402</v>
      </c>
      <c r="BK23" s="82"/>
      <c r="BL23" s="82"/>
      <c r="BM23" s="82"/>
      <c r="BN23" s="83"/>
      <c r="BO23" s="77">
        <f>SUM(BO7:BS22)</f>
        <v>453</v>
      </c>
      <c r="BP23" s="78"/>
      <c r="BQ23" s="78"/>
      <c r="BR23" s="78"/>
      <c r="BS23" s="79"/>
      <c r="BT23" s="81">
        <f>SUM(BT7:BX22)</f>
        <v>781.30200000000002</v>
      </c>
      <c r="BU23" s="82"/>
      <c r="BV23" s="82"/>
      <c r="BW23" s="82"/>
      <c r="BX23" s="83"/>
      <c r="BY23" s="77">
        <f>SUM(BY7:CC22)</f>
        <v>342</v>
      </c>
      <c r="BZ23" s="78"/>
      <c r="CA23" s="78"/>
      <c r="CB23" s="78"/>
      <c r="CC23" s="79"/>
      <c r="CD23" s="81">
        <f>SUM(CD7:CH22)</f>
        <v>579.61300000000006</v>
      </c>
      <c r="CE23" s="82"/>
      <c r="CF23" s="82"/>
      <c r="CG23" s="82"/>
      <c r="CH23" s="83"/>
      <c r="CI23" s="70"/>
      <c r="CJ23" s="71"/>
      <c r="CK23" s="71"/>
      <c r="CL23" s="71"/>
      <c r="CM23" s="71"/>
      <c r="CN23" s="71"/>
      <c r="CO23" s="71"/>
      <c r="CP23" s="71"/>
      <c r="CQ23" s="71"/>
      <c r="CR23" s="71"/>
      <c r="CS23" s="71"/>
      <c r="CT23" s="71"/>
      <c r="CU23" s="71"/>
      <c r="CV23" s="71"/>
      <c r="CW23" s="71"/>
      <c r="CX23" s="71"/>
      <c r="CY23" s="71"/>
      <c r="CZ23" s="71"/>
      <c r="DA23" s="71"/>
      <c r="DB23" s="418"/>
    </row>
    <row r="24" spans="2:107" ht="20.100000000000001" customHeight="1" thickTop="1" thickBot="1"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P24" s="60">
        <f>SUM(Q23:AT23)</f>
        <v>3344</v>
      </c>
      <c r="AQ24" s="61"/>
      <c r="AR24" s="61"/>
      <c r="AS24" s="61"/>
      <c r="AT24" s="62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9"/>
      <c r="CI24" s="60">
        <f>SUM(CI7:CM22)</f>
        <v>2088</v>
      </c>
      <c r="CJ24" s="61"/>
      <c r="CK24" s="61"/>
      <c r="CL24" s="61"/>
      <c r="CM24" s="62"/>
      <c r="CN24" s="89">
        <f>SUM(CN7:CR22)</f>
        <v>3515.6239999999998</v>
      </c>
      <c r="CO24" s="90"/>
      <c r="CP24" s="90"/>
      <c r="CQ24" s="90"/>
      <c r="CR24" s="91"/>
      <c r="CS24" s="60">
        <f>SUM(CS7:CW22)</f>
        <v>0</v>
      </c>
      <c r="CT24" s="61"/>
      <c r="CU24" s="61"/>
      <c r="CV24" s="61"/>
      <c r="CW24" s="62"/>
      <c r="CX24" s="60">
        <f>SUM(CX7:DB22)</f>
        <v>0</v>
      </c>
      <c r="CY24" s="61"/>
      <c r="CZ24" s="61"/>
      <c r="DA24" s="61"/>
      <c r="DB24" s="62"/>
    </row>
    <row r="25" spans="2:107" ht="20.100000000000001" customHeight="1" thickTop="1"/>
    <row r="26" spans="2:107" ht="20.100000000000001" customHeight="1" thickBot="1">
      <c r="B26" s="92" t="s">
        <v>8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 t="s">
        <v>9</v>
      </c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80" t="s">
        <v>10</v>
      </c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 t="s">
        <v>11</v>
      </c>
      <c r="BZ26" s="80"/>
      <c r="CA26" s="80"/>
      <c r="CB26" s="80"/>
      <c r="CC26" s="80"/>
      <c r="CD26" s="80"/>
      <c r="CE26" s="80"/>
      <c r="CF26" s="80"/>
      <c r="CG26" s="80"/>
      <c r="CH26" s="80"/>
      <c r="CI26" s="80"/>
      <c r="CJ26" s="80"/>
      <c r="CK26" s="80"/>
      <c r="CL26" s="80"/>
      <c r="CM26" s="80"/>
      <c r="CN26" s="80"/>
      <c r="CO26" s="80"/>
      <c r="CP26" s="80"/>
      <c r="CQ26" s="80"/>
      <c r="CR26" s="80"/>
      <c r="CS26" s="80"/>
      <c r="CT26" s="80"/>
      <c r="CU26" s="80"/>
      <c r="CV26" s="80"/>
      <c r="CW26" s="80"/>
    </row>
    <row r="27" spans="2:107" ht="20.100000000000001" customHeight="1">
      <c r="B27" s="438"/>
      <c r="C27" s="439"/>
      <c r="D27" s="439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40"/>
      <c r="AA27" s="439"/>
      <c r="AB27" s="439"/>
      <c r="AC27" s="439"/>
      <c r="AD27" s="439"/>
      <c r="AE27" s="439"/>
      <c r="AF27" s="439"/>
      <c r="AG27" s="439"/>
      <c r="AH27" s="439"/>
      <c r="AI27" s="439"/>
      <c r="AJ27" s="439"/>
      <c r="AK27" s="439"/>
      <c r="AL27" s="439"/>
      <c r="AM27" s="439"/>
      <c r="AN27" s="439"/>
      <c r="AO27" s="439"/>
      <c r="AP27" s="442"/>
      <c r="AQ27" s="442"/>
      <c r="AR27" s="442"/>
      <c r="AS27" s="442"/>
      <c r="AT27" s="439"/>
      <c r="AU27" s="439"/>
      <c r="AV27" s="439"/>
      <c r="AW27" s="439"/>
      <c r="AX27" s="439"/>
      <c r="AY27" s="439"/>
      <c r="AZ27" s="439"/>
      <c r="BA27" s="439"/>
      <c r="BB27" s="440"/>
      <c r="BC27" s="439"/>
      <c r="BD27" s="439"/>
      <c r="BE27" s="439"/>
      <c r="BF27" s="439"/>
      <c r="BG27" s="439"/>
      <c r="BH27" s="439"/>
      <c r="BI27" s="439"/>
      <c r="BJ27" s="439"/>
      <c r="BK27" s="439"/>
      <c r="BL27" s="439"/>
      <c r="BM27" s="439"/>
      <c r="BN27" s="439"/>
      <c r="BO27" s="439"/>
      <c r="BP27" s="439"/>
      <c r="BQ27" s="439"/>
      <c r="BR27" s="439"/>
      <c r="BS27" s="440"/>
      <c r="BT27" s="35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Y27" s="26" t="s">
        <v>1</v>
      </c>
      <c r="CZ27" s="26"/>
      <c r="DA27" s="26"/>
      <c r="DB27" s="26"/>
    </row>
    <row r="28" spans="2:107" ht="20.100000000000001" customHeight="1" thickBot="1">
      <c r="B28" s="441"/>
      <c r="C28" s="442"/>
      <c r="D28" s="442"/>
      <c r="E28" s="442"/>
      <c r="F28" s="442"/>
      <c r="G28" s="442"/>
      <c r="H28" s="442"/>
      <c r="I28" s="442"/>
      <c r="J28" s="442"/>
      <c r="K28" s="442"/>
      <c r="L28" s="442"/>
      <c r="M28" s="442"/>
      <c r="N28" s="442"/>
      <c r="O28" s="442"/>
      <c r="P28" s="443"/>
      <c r="Q28" s="442"/>
      <c r="R28" s="442"/>
      <c r="S28" s="442"/>
      <c r="T28" s="442"/>
      <c r="U28" s="442"/>
      <c r="V28" s="442"/>
      <c r="W28" s="442"/>
      <c r="X28" s="442"/>
      <c r="Y28" s="442"/>
      <c r="Z28" s="444"/>
      <c r="AA28" s="442"/>
      <c r="AB28" s="442"/>
      <c r="AC28" s="442"/>
      <c r="AD28" s="442"/>
      <c r="AE28" s="442"/>
      <c r="AF28" s="442"/>
      <c r="AG28" s="442"/>
      <c r="AH28" s="442"/>
      <c r="AI28" s="442"/>
      <c r="AJ28" s="442"/>
      <c r="AK28" s="442"/>
      <c r="AL28" s="442"/>
      <c r="AM28" s="442"/>
      <c r="AN28" s="442"/>
      <c r="AO28" s="442"/>
      <c r="AP28" s="442"/>
      <c r="AQ28" s="442"/>
      <c r="AR28" s="442"/>
      <c r="AS28" s="442"/>
      <c r="AT28" s="442"/>
      <c r="AU28" s="442"/>
      <c r="AV28" s="442"/>
      <c r="AW28" s="442"/>
      <c r="AX28" s="447" t="s">
        <v>80</v>
      </c>
      <c r="AY28" s="447"/>
      <c r="AZ28" s="447"/>
      <c r="BA28" s="447"/>
      <c r="BB28" s="455"/>
      <c r="BC28" s="442"/>
      <c r="BD28" s="442"/>
      <c r="BE28" s="442"/>
      <c r="BF28" s="442"/>
      <c r="BG28" s="442"/>
      <c r="BH28" s="442"/>
      <c r="BI28" s="442"/>
      <c r="BJ28" s="442"/>
      <c r="BK28" s="442"/>
      <c r="BL28" s="442"/>
      <c r="BM28" s="442"/>
      <c r="BN28" s="442"/>
      <c r="BO28" s="442"/>
      <c r="BP28" s="442"/>
      <c r="BQ28" s="442"/>
      <c r="BR28" s="442"/>
      <c r="BS28" s="444"/>
      <c r="BT28" s="35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Y28" s="27" t="s">
        <v>4</v>
      </c>
      <c r="CZ28" s="27"/>
      <c r="DA28" s="27"/>
      <c r="DB28" s="27"/>
    </row>
    <row r="29" spans="2:107" ht="20.100000000000001" customHeight="1" thickTop="1" thickBot="1">
      <c r="B29" s="441"/>
      <c r="C29" s="442"/>
      <c r="D29" s="442"/>
      <c r="E29" s="442"/>
      <c r="F29" s="442"/>
      <c r="G29" s="442"/>
      <c r="H29" s="448"/>
      <c r="I29" s="447" t="s">
        <v>77</v>
      </c>
      <c r="J29" s="447"/>
      <c r="K29" s="447"/>
      <c r="L29" s="447"/>
      <c r="M29" s="447"/>
      <c r="N29" s="442"/>
      <c r="O29" s="442"/>
      <c r="P29" s="442"/>
      <c r="Q29" s="442"/>
      <c r="R29" s="442"/>
      <c r="S29" s="442"/>
      <c r="T29" s="442"/>
      <c r="U29" s="442"/>
      <c r="V29" s="442"/>
      <c r="W29" s="442"/>
      <c r="X29" s="442"/>
      <c r="Y29" s="442"/>
      <c r="Z29" s="444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2"/>
      <c r="AP29" s="442"/>
      <c r="AQ29" s="442"/>
      <c r="AR29" s="442"/>
      <c r="AS29" s="442"/>
      <c r="AT29" s="442"/>
      <c r="AU29" s="442"/>
      <c r="AV29" s="442"/>
      <c r="AW29" s="442"/>
      <c r="AX29" s="453"/>
      <c r="AY29" s="449">
        <v>25</v>
      </c>
      <c r="AZ29" s="450"/>
      <c r="BA29" s="450"/>
      <c r="BB29" s="454"/>
      <c r="BC29" s="442"/>
      <c r="BD29" s="442"/>
      <c r="BE29" s="442"/>
      <c r="BF29" s="442"/>
      <c r="BG29" s="442"/>
      <c r="BH29" s="442"/>
      <c r="BI29" s="442"/>
      <c r="BJ29" s="447" t="s">
        <v>80</v>
      </c>
      <c r="BK29" s="447"/>
      <c r="BL29" s="447"/>
      <c r="BM29" s="447"/>
      <c r="BN29" s="447"/>
      <c r="BO29" s="442"/>
      <c r="BP29" s="443"/>
      <c r="BQ29" s="443"/>
      <c r="BR29" s="442"/>
      <c r="BS29" s="444"/>
      <c r="BT29" s="35"/>
      <c r="BU29" s="36"/>
      <c r="BV29" s="36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8"/>
      <c r="CJ29" s="48"/>
      <c r="CK29" s="48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Y29" s="64">
        <f>DC29</f>
        <v>290</v>
      </c>
      <c r="CZ29" s="65"/>
      <c r="DA29" s="65"/>
      <c r="DB29" s="66"/>
      <c r="DC29" s="29">
        <f t="array" ref="DC29:DC30">TRANSPOSE(TotalUnitsAndWeightsSum(DECK12))</f>
        <v>290</v>
      </c>
    </row>
    <row r="30" spans="2:107" ht="20.100000000000001" customHeight="1" thickTop="1" thickBot="1">
      <c r="B30" s="441"/>
      <c r="C30" s="442"/>
      <c r="D30" s="442"/>
      <c r="E30" s="442"/>
      <c r="F30" s="442"/>
      <c r="G30" s="442"/>
      <c r="H30" s="449">
        <v>108</v>
      </c>
      <c r="I30" s="450"/>
      <c r="J30" s="450"/>
      <c r="K30" s="451">
        <v>107.001</v>
      </c>
      <c r="L30" s="450"/>
      <c r="M30" s="450"/>
      <c r="N30" s="450"/>
      <c r="O30" s="442"/>
      <c r="P30" s="442"/>
      <c r="Q30" s="442"/>
      <c r="R30" s="442"/>
      <c r="S30" s="442"/>
      <c r="T30" s="442"/>
      <c r="U30" s="442"/>
      <c r="V30" s="447" t="s">
        <v>78</v>
      </c>
      <c r="W30" s="447"/>
      <c r="X30" s="447"/>
      <c r="Y30" s="447"/>
      <c r="Z30" s="455"/>
      <c r="AA30" s="442"/>
      <c r="AB30" s="447" t="s">
        <v>78</v>
      </c>
      <c r="AC30" s="447"/>
      <c r="AD30" s="447"/>
      <c r="AE30" s="447"/>
      <c r="AF30" s="447"/>
      <c r="AG30" s="442"/>
      <c r="AH30" s="442"/>
      <c r="AI30" s="442"/>
      <c r="AJ30" s="442"/>
      <c r="AK30" s="442"/>
      <c r="AL30" s="51"/>
      <c r="AM30" s="52"/>
      <c r="AN30" s="52"/>
      <c r="AO30" s="52"/>
      <c r="AP30" s="52"/>
      <c r="AQ30" s="52"/>
      <c r="AR30" s="52"/>
      <c r="AS30" s="52"/>
      <c r="AT30" s="52"/>
      <c r="AU30" s="52"/>
      <c r="AV30" s="53"/>
      <c r="AW30" s="442"/>
      <c r="AX30" s="453"/>
      <c r="AY30" s="451">
        <v>43.6</v>
      </c>
      <c r="AZ30" s="450"/>
      <c r="BA30" s="450"/>
      <c r="BB30" s="454"/>
      <c r="BC30" s="442"/>
      <c r="BD30" s="442"/>
      <c r="BE30" s="442"/>
      <c r="BF30" s="442"/>
      <c r="BG30" s="442"/>
      <c r="BH30" s="442"/>
      <c r="BI30" s="442"/>
      <c r="BJ30" s="449">
        <v>54</v>
      </c>
      <c r="BK30" s="450"/>
      <c r="BL30" s="450"/>
      <c r="BM30" s="453"/>
      <c r="BN30" s="442"/>
      <c r="BO30" s="442"/>
      <c r="BP30" s="442"/>
      <c r="BQ30" s="442"/>
      <c r="BR30" s="442"/>
      <c r="BS30" s="444"/>
      <c r="BT30" s="35"/>
      <c r="BU30" s="36"/>
      <c r="BV30" s="36"/>
      <c r="BW30" s="48"/>
      <c r="BX30" s="48"/>
      <c r="BY30" s="48"/>
      <c r="BZ30" s="48"/>
      <c r="CA30" s="48"/>
      <c r="CB30" s="48"/>
      <c r="CC30" s="48"/>
      <c r="CD30" s="48"/>
      <c r="CE30" s="48"/>
      <c r="CF30" s="48"/>
      <c r="CG30" s="48"/>
      <c r="CH30" s="48"/>
      <c r="CI30" s="48"/>
      <c r="CJ30" s="48"/>
      <c r="CK30" s="48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Y30" s="67">
        <f>DC30</f>
        <v>406.10400000000004</v>
      </c>
      <c r="CZ30" s="68"/>
      <c r="DA30" s="68"/>
      <c r="DB30" s="69"/>
      <c r="DC30" s="29">
        <v>406.10400000000004</v>
      </c>
    </row>
    <row r="31" spans="2:107" ht="20.100000000000001" customHeight="1" thickTop="1">
      <c r="B31" s="441"/>
      <c r="C31" s="442"/>
      <c r="D31" s="442"/>
      <c r="E31" s="442"/>
      <c r="F31" s="442"/>
      <c r="G31" s="442"/>
      <c r="H31" s="442"/>
      <c r="I31" s="442"/>
      <c r="J31" s="442"/>
      <c r="K31" s="442"/>
      <c r="L31" s="442"/>
      <c r="M31" s="442"/>
      <c r="N31" s="442"/>
      <c r="O31" s="442"/>
      <c r="P31" s="442"/>
      <c r="Q31" s="442"/>
      <c r="R31" s="442"/>
      <c r="S31" s="442"/>
      <c r="T31" s="442"/>
      <c r="U31" s="442"/>
      <c r="V31" s="449">
        <v>21</v>
      </c>
      <c r="W31" s="450"/>
      <c r="X31" s="450"/>
      <c r="Y31" s="442"/>
      <c r="Z31" s="444"/>
      <c r="AA31" s="442"/>
      <c r="AB31" s="449">
        <v>82</v>
      </c>
      <c r="AC31" s="450"/>
      <c r="AD31" s="450"/>
      <c r="AE31" s="453"/>
      <c r="AF31" s="453"/>
      <c r="AG31" s="442"/>
      <c r="AH31" s="442"/>
      <c r="AI31" s="442"/>
      <c r="AJ31" s="442"/>
      <c r="AK31" s="442"/>
      <c r="AL31" s="54"/>
      <c r="AM31" s="55"/>
      <c r="AN31" s="55"/>
      <c r="AO31" s="55"/>
      <c r="AP31" s="55"/>
      <c r="AQ31" s="55"/>
      <c r="AR31" s="55"/>
      <c r="AS31" s="55"/>
      <c r="AT31" s="55"/>
      <c r="AU31" s="55"/>
      <c r="AV31" s="56"/>
      <c r="AW31" s="442"/>
      <c r="AX31" s="442"/>
      <c r="AY31" s="442"/>
      <c r="AZ31" s="442"/>
      <c r="BA31" s="442"/>
      <c r="BB31" s="444"/>
      <c r="BC31" s="442"/>
      <c r="BD31" s="442"/>
      <c r="BE31" s="442"/>
      <c r="BF31" s="442"/>
      <c r="BG31" s="442"/>
      <c r="BH31" s="442"/>
      <c r="BI31" s="442"/>
      <c r="BJ31" s="451">
        <v>100.401</v>
      </c>
      <c r="BK31" s="450"/>
      <c r="BL31" s="450"/>
      <c r="BM31" s="450"/>
      <c r="BN31" s="442"/>
      <c r="BO31" s="442"/>
      <c r="BP31" s="442"/>
      <c r="BQ31" s="442"/>
      <c r="BR31" s="442"/>
      <c r="BS31" s="444"/>
      <c r="BT31" s="35"/>
      <c r="BU31" s="36"/>
      <c r="BV31" s="36"/>
      <c r="BW31" s="36"/>
      <c r="BX31" s="36"/>
      <c r="BY31" s="48"/>
      <c r="BZ31" s="48"/>
      <c r="CA31" s="48"/>
      <c r="CB31" s="48"/>
      <c r="CC31" s="48"/>
      <c r="CD31" s="48"/>
      <c r="CE31" s="48"/>
      <c r="CF31" s="48"/>
      <c r="CG31" s="48"/>
      <c r="CH31" s="48"/>
      <c r="CI31" s="48"/>
      <c r="CJ31" s="48"/>
      <c r="CK31" s="48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Y31" s="28" t="s">
        <v>21</v>
      </c>
      <c r="CZ31" s="28"/>
      <c r="DA31" s="28"/>
      <c r="DB31" s="28"/>
    </row>
    <row r="32" spans="2:107" ht="20.100000000000001" customHeight="1">
      <c r="B32" s="441"/>
      <c r="C32" s="442"/>
      <c r="D32" s="442"/>
      <c r="E32" s="442"/>
      <c r="F32" s="442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42"/>
      <c r="S32" s="442"/>
      <c r="T32" s="442"/>
      <c r="U32" s="442"/>
      <c r="V32" s="451">
        <v>31.701000000000001</v>
      </c>
      <c r="W32" s="450"/>
      <c r="X32" s="450"/>
      <c r="Y32" s="450"/>
      <c r="Z32" s="444"/>
      <c r="AA32" s="442"/>
      <c r="AB32" s="451">
        <v>123.401</v>
      </c>
      <c r="AC32" s="450"/>
      <c r="AD32" s="450"/>
      <c r="AE32" s="450"/>
      <c r="AF32" s="453"/>
      <c r="AG32" s="442"/>
      <c r="AH32" s="442"/>
      <c r="AI32" s="442"/>
      <c r="AJ32" s="442"/>
      <c r="AK32" s="442"/>
      <c r="AL32" s="442"/>
      <c r="AM32" s="442"/>
      <c r="AN32" s="442"/>
      <c r="AO32" s="442"/>
      <c r="AP32" s="442"/>
      <c r="AQ32" s="442"/>
      <c r="AR32" s="442"/>
      <c r="AS32" s="442"/>
      <c r="AT32" s="442"/>
      <c r="AU32" s="442"/>
      <c r="AV32" s="442"/>
      <c r="AW32" s="442"/>
      <c r="AX32" s="442"/>
      <c r="AY32" s="442"/>
      <c r="AZ32" s="442"/>
      <c r="BA32" s="442"/>
      <c r="BB32" s="444"/>
      <c r="BC32" s="442"/>
      <c r="BD32" s="442"/>
      <c r="BE32" s="442"/>
      <c r="BF32" s="442"/>
      <c r="BG32" s="442"/>
      <c r="BH32" s="442"/>
      <c r="BI32" s="442"/>
      <c r="BJ32" s="442"/>
      <c r="BK32" s="442"/>
      <c r="BL32" s="442"/>
      <c r="BM32" s="442"/>
      <c r="BN32" s="442"/>
      <c r="BO32" s="442"/>
      <c r="BP32" s="442"/>
      <c r="BQ32" s="442"/>
      <c r="BR32" s="442"/>
      <c r="BS32" s="444"/>
      <c r="BT32" s="35"/>
      <c r="BU32" s="36"/>
      <c r="BV32" s="36"/>
      <c r="BW32" s="36"/>
      <c r="BX32" s="36"/>
      <c r="BY32" s="48"/>
      <c r="BZ32" s="48"/>
      <c r="CA32" s="48"/>
      <c r="CB32" s="48"/>
      <c r="CC32" s="48"/>
      <c r="CD32" s="48"/>
      <c r="CE32" s="48"/>
      <c r="CF32" s="48"/>
      <c r="CG32" s="48"/>
      <c r="CH32" s="48"/>
      <c r="CI32" s="48"/>
      <c r="CJ32" s="48"/>
      <c r="CK32" s="48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Y32" s="25" t="s">
        <v>22</v>
      </c>
      <c r="CZ32" s="25"/>
      <c r="DA32" s="25"/>
      <c r="DB32" s="25"/>
    </row>
    <row r="33" spans="2:107" ht="20.100000000000001" customHeight="1">
      <c r="B33" s="441"/>
      <c r="C33" s="442"/>
      <c r="D33" s="442"/>
      <c r="E33" s="442"/>
      <c r="F33" s="442"/>
      <c r="G33" s="442"/>
      <c r="H33" s="442"/>
      <c r="I33" s="442"/>
      <c r="J33" s="442"/>
      <c r="K33" s="442"/>
      <c r="L33" s="442"/>
      <c r="M33" s="442"/>
      <c r="N33" s="442"/>
      <c r="O33" s="442"/>
      <c r="P33" s="442"/>
      <c r="Q33" s="442"/>
      <c r="R33" s="442"/>
      <c r="S33" s="442"/>
      <c r="T33" s="442"/>
      <c r="U33" s="442"/>
      <c r="V33" s="442"/>
      <c r="W33" s="442"/>
      <c r="X33" s="442"/>
      <c r="Y33" s="442"/>
      <c r="Z33" s="444"/>
      <c r="AA33" s="442"/>
      <c r="AB33" s="442"/>
      <c r="AC33" s="442"/>
      <c r="AD33" s="442"/>
      <c r="AE33" s="442"/>
      <c r="AF33" s="442"/>
      <c r="AG33" s="442"/>
      <c r="AH33" s="442"/>
      <c r="AI33" s="442"/>
      <c r="AJ33" s="442"/>
      <c r="AK33" s="442"/>
      <c r="AL33" s="442"/>
      <c r="AM33" s="442"/>
      <c r="AN33" s="442"/>
      <c r="AO33" s="442"/>
      <c r="AP33" s="442"/>
      <c r="AQ33" s="442"/>
      <c r="AR33" s="442"/>
      <c r="AS33" s="442"/>
      <c r="AT33" s="442"/>
      <c r="AU33" s="442"/>
      <c r="AV33" s="442"/>
      <c r="AW33" s="442"/>
      <c r="AX33" s="442"/>
      <c r="AY33" s="442"/>
      <c r="AZ33" s="442"/>
      <c r="BA33" s="442"/>
      <c r="BB33" s="444"/>
      <c r="BC33" s="442"/>
      <c r="BD33" s="442"/>
      <c r="BE33" s="442"/>
      <c r="BF33" s="442"/>
      <c r="BG33" s="442"/>
      <c r="BH33" s="442"/>
      <c r="BI33" s="442"/>
      <c r="BJ33" s="442"/>
      <c r="BK33" s="442"/>
      <c r="BL33" s="442"/>
      <c r="BM33" s="442"/>
      <c r="BN33" s="442"/>
      <c r="BO33" s="442"/>
      <c r="BP33" s="442"/>
      <c r="BQ33" s="442"/>
      <c r="BR33" s="442"/>
      <c r="BS33" s="444"/>
      <c r="BT33" s="35"/>
      <c r="BU33" s="36"/>
      <c r="BV33" s="36"/>
      <c r="BW33" s="36"/>
      <c r="BX33" s="36"/>
      <c r="BY33" s="48"/>
      <c r="BZ33" s="48"/>
      <c r="CA33" s="48"/>
      <c r="CB33" s="48"/>
      <c r="CC33" s="48"/>
      <c r="CD33" s="48"/>
      <c r="CE33" s="48"/>
      <c r="CF33" s="48"/>
      <c r="CG33" s="48"/>
      <c r="CH33" s="48"/>
      <c r="CI33" s="48"/>
      <c r="CJ33" s="48"/>
      <c r="CK33" s="48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</row>
    <row r="34" spans="2:107" ht="20.100000000000001" customHeight="1">
      <c r="B34" s="441"/>
      <c r="C34" s="442"/>
      <c r="D34" s="442"/>
      <c r="E34" s="442"/>
      <c r="F34" s="442"/>
      <c r="G34" s="442"/>
      <c r="H34" s="442"/>
      <c r="I34" s="442"/>
      <c r="J34" s="442"/>
      <c r="K34" s="442"/>
      <c r="L34" s="442"/>
      <c r="M34" s="442"/>
      <c r="N34" s="442"/>
      <c r="O34" s="442"/>
      <c r="P34" s="442"/>
      <c r="Q34" s="442"/>
      <c r="R34" s="442"/>
      <c r="S34" s="442"/>
      <c r="T34" s="442"/>
      <c r="U34" s="442"/>
      <c r="V34" s="442"/>
      <c r="W34" s="442"/>
      <c r="X34" s="442"/>
      <c r="Y34" s="442"/>
      <c r="Z34" s="444"/>
      <c r="AA34" s="442"/>
      <c r="AB34" s="442"/>
      <c r="AC34" s="442"/>
      <c r="AD34" s="442"/>
      <c r="AE34" s="442"/>
      <c r="AF34" s="442"/>
      <c r="AG34" s="442"/>
      <c r="AH34" s="442"/>
      <c r="AI34" s="442"/>
      <c r="AJ34" s="442"/>
      <c r="AK34" s="442"/>
      <c r="AL34" s="442"/>
      <c r="AM34" s="442"/>
      <c r="AN34" s="442"/>
      <c r="AO34" s="442"/>
      <c r="AP34" s="442"/>
      <c r="AQ34" s="442"/>
      <c r="AR34" s="442"/>
      <c r="AS34" s="442"/>
      <c r="AT34" s="442"/>
      <c r="AU34" s="442"/>
      <c r="AV34" s="442"/>
      <c r="AW34" s="442"/>
      <c r="AX34" s="442"/>
      <c r="AY34" s="442"/>
      <c r="AZ34" s="442"/>
      <c r="BA34" s="442"/>
      <c r="BB34" s="444"/>
      <c r="BC34" s="442"/>
      <c r="BD34" s="442"/>
      <c r="BE34" s="442"/>
      <c r="BF34" s="442"/>
      <c r="BG34" s="442"/>
      <c r="BH34" s="442"/>
      <c r="BI34" s="442"/>
      <c r="BJ34" s="442"/>
      <c r="BK34" s="442"/>
      <c r="BL34" s="442"/>
      <c r="BM34" s="442"/>
      <c r="BN34" s="442"/>
      <c r="BO34" s="442"/>
      <c r="BP34" s="442"/>
      <c r="BQ34" s="442"/>
      <c r="BR34" s="442"/>
      <c r="BS34" s="444"/>
      <c r="BT34" s="35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</row>
    <row r="35" spans="2:107" ht="20.100000000000001" customHeight="1" thickBot="1">
      <c r="B35" s="441"/>
      <c r="C35" s="442"/>
      <c r="D35" s="442"/>
      <c r="E35" s="442"/>
      <c r="F35" s="442"/>
      <c r="G35" s="442"/>
      <c r="H35" s="442"/>
      <c r="I35" s="442"/>
      <c r="J35" s="442"/>
      <c r="K35" s="442"/>
      <c r="L35" s="442"/>
      <c r="M35" s="442"/>
      <c r="N35" s="442"/>
      <c r="O35" s="442"/>
      <c r="P35" s="442"/>
      <c r="Q35" s="442"/>
      <c r="R35" s="442"/>
      <c r="S35" s="442"/>
      <c r="T35" s="442"/>
      <c r="U35" s="442"/>
      <c r="V35" s="442"/>
      <c r="W35" s="442"/>
      <c r="X35" s="442"/>
      <c r="Y35" s="442"/>
      <c r="Z35" s="444"/>
      <c r="AA35" s="442"/>
      <c r="AB35" s="442"/>
      <c r="AC35" s="442"/>
      <c r="AD35" s="442"/>
      <c r="AE35" s="442"/>
      <c r="AF35" s="442"/>
      <c r="AG35" s="442"/>
      <c r="AH35" s="442"/>
      <c r="AI35" s="442"/>
      <c r="AJ35" s="442"/>
      <c r="AK35" s="442"/>
      <c r="AL35" s="442"/>
      <c r="AM35" s="442"/>
      <c r="AN35" s="442"/>
      <c r="AO35" s="442"/>
      <c r="AP35" s="442"/>
      <c r="AQ35" s="442"/>
      <c r="AR35" s="442"/>
      <c r="AS35" s="442"/>
      <c r="AT35" s="442"/>
      <c r="AU35" s="442"/>
      <c r="AV35" s="442"/>
      <c r="AW35" s="442"/>
      <c r="AX35" s="442"/>
      <c r="AY35" s="442"/>
      <c r="AZ35" s="442"/>
      <c r="BA35" s="442"/>
      <c r="BB35" s="444"/>
      <c r="BC35" s="442"/>
      <c r="BD35" s="442"/>
      <c r="BE35" s="442"/>
      <c r="BF35" s="442"/>
      <c r="BG35" s="442"/>
      <c r="BH35" s="442"/>
      <c r="BI35" s="442"/>
      <c r="BJ35" s="442"/>
      <c r="BK35" s="442"/>
      <c r="BL35" s="442"/>
      <c r="BM35" s="442"/>
      <c r="BN35" s="442"/>
      <c r="BO35" s="442"/>
      <c r="BP35" s="442"/>
      <c r="BQ35" s="442"/>
      <c r="BR35" s="442"/>
      <c r="BS35" s="444"/>
      <c r="BT35" s="35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</row>
    <row r="36" spans="2:107" ht="20.100000000000001" customHeight="1">
      <c r="B36" s="461"/>
      <c r="C36" s="462"/>
      <c r="D36" s="462"/>
      <c r="E36" s="462"/>
      <c r="F36" s="462"/>
      <c r="G36" s="462"/>
      <c r="H36" s="462"/>
      <c r="I36" s="462"/>
      <c r="J36" s="463"/>
      <c r="K36" s="464"/>
      <c r="L36" s="464"/>
      <c r="M36" s="464"/>
      <c r="N36" s="465"/>
      <c r="O36" s="541"/>
      <c r="P36" s="541"/>
      <c r="Q36" s="541"/>
      <c r="R36" s="541"/>
      <c r="S36" s="541"/>
      <c r="T36" s="541"/>
      <c r="U36" s="541"/>
      <c r="V36" s="541"/>
      <c r="W36" s="541"/>
      <c r="X36" s="541"/>
      <c r="Y36" s="541"/>
      <c r="Z36" s="542"/>
      <c r="AA36" s="543" t="s">
        <v>83</v>
      </c>
      <c r="AB36" s="544"/>
      <c r="AC36" s="544"/>
      <c r="AD36" s="541"/>
      <c r="AE36" s="548"/>
      <c r="AF36" s="548"/>
      <c r="AG36" s="548"/>
      <c r="AH36" s="548"/>
      <c r="AI36" s="548"/>
      <c r="AJ36" s="548"/>
      <c r="AK36" s="548"/>
      <c r="AL36" s="548"/>
      <c r="AM36" s="548"/>
      <c r="AN36" s="548"/>
      <c r="AO36" s="548"/>
      <c r="AP36" s="548"/>
      <c r="AQ36" s="548"/>
      <c r="AR36" s="548"/>
      <c r="AS36" s="548"/>
      <c r="AT36" s="548"/>
      <c r="AU36" s="548"/>
      <c r="AV36" s="548"/>
      <c r="AW36" s="548"/>
      <c r="AX36" s="548"/>
      <c r="AY36" s="548"/>
      <c r="AZ36" s="466"/>
      <c r="BA36" s="466"/>
      <c r="BB36" s="467"/>
      <c r="BC36" s="548"/>
      <c r="BD36" s="548"/>
      <c r="BE36" s="548"/>
      <c r="BF36" s="548"/>
      <c r="BG36" s="548"/>
      <c r="BH36" s="548"/>
      <c r="BI36" s="548"/>
      <c r="BJ36" s="548"/>
      <c r="BK36" s="548"/>
      <c r="BL36" s="548"/>
      <c r="BM36" s="548"/>
      <c r="BN36" s="548"/>
      <c r="BO36" s="548"/>
      <c r="BP36" s="548"/>
      <c r="BQ36" s="548"/>
      <c r="BR36" s="548"/>
      <c r="BS36" s="548"/>
      <c r="BT36" s="548"/>
      <c r="BU36" s="548"/>
      <c r="BV36" s="548"/>
      <c r="BW36" s="548"/>
      <c r="BX36" s="548"/>
      <c r="BY36" s="565"/>
      <c r="BZ36" s="548"/>
      <c r="CA36" s="548"/>
      <c r="CB36" s="548"/>
      <c r="CC36" s="548"/>
      <c r="CD36" s="548"/>
      <c r="CE36" s="548"/>
      <c r="CF36" s="548"/>
      <c r="CG36" s="548"/>
      <c r="CH36" s="569"/>
      <c r="CI36" s="571" t="s">
        <v>88</v>
      </c>
      <c r="CJ36" s="569"/>
      <c r="CK36" s="569"/>
      <c r="CL36" s="569"/>
      <c r="CM36" s="569"/>
      <c r="CN36" s="569"/>
      <c r="CO36" s="569"/>
      <c r="CP36" s="569"/>
      <c r="CQ36" s="569"/>
      <c r="CR36" s="569"/>
      <c r="CS36" s="569"/>
      <c r="CT36" s="569"/>
      <c r="CU36" s="466"/>
      <c r="CV36" s="466"/>
      <c r="CW36" s="467"/>
      <c r="CY36" s="11" t="s">
        <v>2</v>
      </c>
    </row>
    <row r="37" spans="2:107" ht="20.100000000000001" customHeight="1" thickBot="1">
      <c r="B37" s="468"/>
      <c r="C37" s="469"/>
      <c r="D37" s="469"/>
      <c r="E37" s="469"/>
      <c r="F37" s="469"/>
      <c r="G37" s="469"/>
      <c r="H37" s="469"/>
      <c r="I37" s="469"/>
      <c r="J37" s="469"/>
      <c r="K37" s="469"/>
      <c r="L37" s="469"/>
      <c r="M37" s="453"/>
      <c r="N37" s="453"/>
      <c r="O37" s="453"/>
      <c r="P37" s="453"/>
      <c r="Q37" s="453"/>
      <c r="R37" s="453"/>
      <c r="S37" s="453"/>
      <c r="T37" s="453"/>
      <c r="U37" s="453"/>
      <c r="V37" s="453"/>
      <c r="W37" s="453"/>
      <c r="X37" s="453"/>
      <c r="Y37" s="453"/>
      <c r="Z37" s="454"/>
      <c r="AA37" s="545" t="s">
        <v>82</v>
      </c>
      <c r="AB37" s="447"/>
      <c r="AC37" s="447"/>
      <c r="AD37" s="453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546"/>
      <c r="AP37" s="546"/>
      <c r="AQ37" s="546"/>
      <c r="AR37" s="546"/>
      <c r="AS37" s="546"/>
      <c r="AT37" s="546"/>
      <c r="AU37" s="546"/>
      <c r="AV37" s="546"/>
      <c r="AW37" s="546"/>
      <c r="AX37" s="546"/>
      <c r="AY37" s="546"/>
      <c r="AZ37" s="470"/>
      <c r="BA37" s="470"/>
      <c r="BB37" s="471"/>
      <c r="BC37" s="546"/>
      <c r="BD37" s="546"/>
      <c r="BE37" s="546"/>
      <c r="BF37" s="546"/>
      <c r="BG37" s="546"/>
      <c r="BH37" s="546"/>
      <c r="BI37" s="567" t="s">
        <v>87</v>
      </c>
      <c r="BJ37" s="587"/>
      <c r="BK37" s="587"/>
      <c r="BL37" s="587"/>
      <c r="BM37" s="587"/>
      <c r="BN37" s="587"/>
      <c r="BO37" s="587"/>
      <c r="BP37" s="546"/>
      <c r="BQ37" s="546"/>
      <c r="BR37" s="546"/>
      <c r="BS37" s="546"/>
      <c r="BT37" s="546"/>
      <c r="BU37" s="546"/>
      <c r="BV37" s="546"/>
      <c r="BW37" s="546"/>
      <c r="BX37" s="546"/>
      <c r="BY37" s="564"/>
      <c r="BZ37" s="567" t="s">
        <v>87</v>
      </c>
      <c r="CA37" s="546"/>
      <c r="CB37" s="546"/>
      <c r="CC37" s="546"/>
      <c r="CD37" s="546"/>
      <c r="CE37" s="546"/>
      <c r="CF37" s="546"/>
      <c r="CG37" s="546"/>
      <c r="CH37" s="570"/>
      <c r="CI37" s="573">
        <v>17</v>
      </c>
      <c r="CJ37" s="572"/>
      <c r="CK37" s="572"/>
      <c r="CL37" s="574">
        <v>28.31</v>
      </c>
      <c r="CM37" s="572"/>
      <c r="CN37" s="572"/>
      <c r="CO37" s="572"/>
      <c r="CP37" s="570"/>
      <c r="CQ37" s="570"/>
      <c r="CR37" s="570"/>
      <c r="CS37" s="570"/>
      <c r="CT37" s="570"/>
      <c r="CU37" s="470"/>
      <c r="CV37" s="470"/>
      <c r="CW37" s="471"/>
      <c r="CY37" s="12" t="s">
        <v>4</v>
      </c>
    </row>
    <row r="38" spans="2:107" ht="20.100000000000001" customHeight="1" thickTop="1" thickBot="1">
      <c r="B38" s="468"/>
      <c r="C38" s="469"/>
      <c r="D38" s="469"/>
      <c r="E38" s="469"/>
      <c r="F38" s="469"/>
      <c r="G38" s="469"/>
      <c r="H38" s="469"/>
      <c r="I38" s="469"/>
      <c r="J38" s="469"/>
      <c r="K38" s="469"/>
      <c r="L38" s="469"/>
      <c r="M38" s="453"/>
      <c r="N38" s="453"/>
      <c r="O38" s="453"/>
      <c r="P38" s="453"/>
      <c r="Q38" s="447" t="s">
        <v>80</v>
      </c>
      <c r="R38" s="447"/>
      <c r="S38" s="447"/>
      <c r="T38" s="447"/>
      <c r="U38" s="447"/>
      <c r="V38" s="453"/>
      <c r="W38" s="453"/>
      <c r="X38" s="453"/>
      <c r="Y38" s="453"/>
      <c r="Z38" s="454"/>
      <c r="AA38" s="449">
        <v>7</v>
      </c>
      <c r="AB38" s="450"/>
      <c r="AC38" s="450"/>
      <c r="AD38" s="453"/>
      <c r="AE38" s="546"/>
      <c r="AF38" s="546"/>
      <c r="AG38" s="546"/>
      <c r="AH38" s="546"/>
      <c r="AI38" s="546"/>
      <c r="AJ38" s="546"/>
      <c r="AK38" s="546"/>
      <c r="AL38" s="546"/>
      <c r="AM38" s="546"/>
      <c r="AN38" s="546"/>
      <c r="AO38" s="546"/>
      <c r="AP38" s="546"/>
      <c r="AQ38" s="546"/>
      <c r="AR38" s="546"/>
      <c r="AS38" s="546"/>
      <c r="AT38" s="546"/>
      <c r="AU38" s="546"/>
      <c r="AV38" s="546"/>
      <c r="AW38" s="546"/>
      <c r="AX38" s="546"/>
      <c r="AY38" s="546"/>
      <c r="AZ38" s="470"/>
      <c r="BA38" s="470"/>
      <c r="BB38" s="471"/>
      <c r="BC38" s="546"/>
      <c r="BD38" s="546"/>
      <c r="BE38" s="546"/>
      <c r="BF38" s="546"/>
      <c r="BG38" s="546"/>
      <c r="BH38" s="546"/>
      <c r="BI38" s="588">
        <v>56</v>
      </c>
      <c r="BJ38" s="589"/>
      <c r="BK38" s="589"/>
      <c r="BL38" s="590">
        <v>82.2</v>
      </c>
      <c r="BM38" s="589"/>
      <c r="BN38" s="589"/>
      <c r="BO38" s="589"/>
      <c r="BP38" s="546"/>
      <c r="BQ38" s="546"/>
      <c r="BR38" s="546"/>
      <c r="BS38" s="546"/>
      <c r="BT38" s="546"/>
      <c r="BU38" s="546"/>
      <c r="BV38" s="546"/>
      <c r="BW38" s="546"/>
      <c r="BX38" s="546"/>
      <c r="BY38" s="564"/>
      <c r="BZ38" s="551">
        <v>16</v>
      </c>
      <c r="CA38" s="549"/>
      <c r="CB38" s="549"/>
      <c r="CC38" s="546"/>
      <c r="CD38" s="546"/>
      <c r="CE38" s="546"/>
      <c r="CF38" s="546"/>
      <c r="CG38" s="546"/>
      <c r="CH38" s="570"/>
      <c r="CI38" s="570"/>
      <c r="CJ38" s="570"/>
      <c r="CK38" s="570"/>
      <c r="CL38" s="570"/>
      <c r="CM38" s="570"/>
      <c r="CN38" s="570"/>
      <c r="CO38" s="570"/>
      <c r="CP38" s="570"/>
      <c r="CQ38" s="570"/>
      <c r="CR38" s="570"/>
      <c r="CS38" s="570"/>
      <c r="CT38" s="570"/>
      <c r="CU38" s="470"/>
      <c r="CV38" s="470"/>
      <c r="CW38" s="471"/>
      <c r="CY38" s="64">
        <f>DC38</f>
        <v>380</v>
      </c>
      <c r="CZ38" s="65"/>
      <c r="DA38" s="65"/>
      <c r="DB38" s="66"/>
      <c r="DC38" s="29">
        <f t="array" ref="DC38:DC39">TRANSPOSE(TotalUnitsAndWeightsSum(DECK11))</f>
        <v>380</v>
      </c>
    </row>
    <row r="39" spans="2:107" ht="20.100000000000001" customHeight="1" thickTop="1" thickBot="1">
      <c r="B39" s="468"/>
      <c r="C39" s="538" t="s">
        <v>81</v>
      </c>
      <c r="D39" s="538"/>
      <c r="E39" s="538"/>
      <c r="F39" s="538"/>
      <c r="G39" s="538"/>
      <c r="H39" s="469"/>
      <c r="I39" s="469"/>
      <c r="J39" s="469"/>
      <c r="K39" s="469"/>
      <c r="L39" s="469"/>
      <c r="M39" s="453"/>
      <c r="N39" s="453"/>
      <c r="O39" s="453"/>
      <c r="P39" s="453"/>
      <c r="Q39" s="449">
        <v>67</v>
      </c>
      <c r="R39" s="450"/>
      <c r="S39" s="450"/>
      <c r="T39" s="453"/>
      <c r="U39" s="453"/>
      <c r="V39" s="453"/>
      <c r="W39" s="453"/>
      <c r="X39" s="453"/>
      <c r="Y39" s="453"/>
      <c r="Z39" s="454"/>
      <c r="AA39" s="451">
        <v>11.2</v>
      </c>
      <c r="AB39" s="450"/>
      <c r="AC39" s="450"/>
      <c r="AD39" s="450"/>
      <c r="AE39" s="546"/>
      <c r="AF39" s="546"/>
      <c r="AG39" s="546"/>
      <c r="AH39" s="546"/>
      <c r="AI39" s="546"/>
      <c r="AJ39" s="546"/>
      <c r="AK39" s="546"/>
      <c r="AL39" s="553"/>
      <c r="AM39" s="554"/>
      <c r="AN39" s="559" t="s">
        <v>85</v>
      </c>
      <c r="AO39" s="559"/>
      <c r="AP39" s="559"/>
      <c r="AQ39" s="559"/>
      <c r="AR39" s="559"/>
      <c r="AS39" s="554"/>
      <c r="AT39" s="554"/>
      <c r="AU39" s="554"/>
      <c r="AV39" s="555"/>
      <c r="AW39" s="470"/>
      <c r="AX39" s="470"/>
      <c r="AY39" s="470"/>
      <c r="AZ39" s="470"/>
      <c r="BA39" s="470"/>
      <c r="BB39" s="471"/>
      <c r="BC39" s="470"/>
      <c r="BD39" s="470"/>
      <c r="BE39" s="470"/>
      <c r="BF39" s="546"/>
      <c r="BG39" s="546"/>
      <c r="BH39" s="546"/>
      <c r="BI39" s="546"/>
      <c r="BJ39" s="546"/>
      <c r="BK39" s="546"/>
      <c r="BL39" s="546"/>
      <c r="BM39" s="546"/>
      <c r="BN39" s="546"/>
      <c r="BO39" s="546"/>
      <c r="BP39" s="546"/>
      <c r="BQ39" s="546"/>
      <c r="BR39" s="546"/>
      <c r="BS39" s="546"/>
      <c r="BT39" s="546"/>
      <c r="BU39" s="546"/>
      <c r="BV39" s="546"/>
      <c r="BW39" s="546"/>
      <c r="BX39" s="546"/>
      <c r="BY39" s="564"/>
      <c r="BZ39" s="575">
        <v>24.001000000000001</v>
      </c>
      <c r="CA39" s="549"/>
      <c r="CB39" s="549"/>
      <c r="CC39" s="549"/>
      <c r="CD39" s="546"/>
      <c r="CE39" s="546"/>
      <c r="CF39" s="546"/>
      <c r="CG39" s="546"/>
      <c r="CH39" s="472"/>
      <c r="CI39" s="473"/>
      <c r="CJ39" s="473"/>
      <c r="CK39" s="473"/>
      <c r="CL39" s="473"/>
      <c r="CM39" s="473"/>
      <c r="CN39" s="473"/>
      <c r="CO39" s="473"/>
      <c r="CP39" s="473"/>
      <c r="CQ39" s="474"/>
      <c r="CR39" s="470"/>
      <c r="CS39" s="470"/>
      <c r="CT39" s="470"/>
      <c r="CU39" s="470"/>
      <c r="CV39" s="470"/>
      <c r="CW39" s="471"/>
      <c r="CY39" s="67">
        <f>DC39</f>
        <v>634.01300000000003</v>
      </c>
      <c r="CZ39" s="68"/>
      <c r="DA39" s="68"/>
      <c r="DB39" s="69"/>
      <c r="DC39" s="29">
        <v>634.01300000000003</v>
      </c>
    </row>
    <row r="40" spans="2:107" ht="20.100000000000001" customHeight="1" thickTop="1">
      <c r="B40" s="468"/>
      <c r="C40" s="469"/>
      <c r="D40" s="539">
        <v>48</v>
      </c>
      <c r="E40" s="460"/>
      <c r="F40" s="460"/>
      <c r="G40" s="469"/>
      <c r="H40" s="469"/>
      <c r="I40" s="469"/>
      <c r="J40" s="469"/>
      <c r="K40" s="469"/>
      <c r="L40" s="469"/>
      <c r="M40" s="453"/>
      <c r="N40" s="453"/>
      <c r="O40" s="453"/>
      <c r="P40" s="453"/>
      <c r="Q40" s="451">
        <v>104.70099999999999</v>
      </c>
      <c r="R40" s="450"/>
      <c r="S40" s="450"/>
      <c r="T40" s="450"/>
      <c r="U40" s="453"/>
      <c r="V40" s="453"/>
      <c r="W40" s="453"/>
      <c r="X40" s="453"/>
      <c r="Y40" s="453"/>
      <c r="Z40" s="454"/>
      <c r="AA40" s="453"/>
      <c r="AB40" s="453"/>
      <c r="AC40" s="453"/>
      <c r="AD40" s="453"/>
      <c r="AE40" s="546"/>
      <c r="AF40" s="546"/>
      <c r="AG40" s="546"/>
      <c r="AH40" s="546"/>
      <c r="AI40" s="546"/>
      <c r="AJ40" s="546"/>
      <c r="AK40" s="546"/>
      <c r="AL40" s="556"/>
      <c r="AM40" s="561">
        <v>6</v>
      </c>
      <c r="AN40" s="560"/>
      <c r="AO40" s="560"/>
      <c r="AP40" s="562">
        <v>11.6</v>
      </c>
      <c r="AQ40" s="560"/>
      <c r="AR40" s="560"/>
      <c r="AS40" s="557"/>
      <c r="AT40" s="557"/>
      <c r="AU40" s="557"/>
      <c r="AV40" s="558"/>
      <c r="AW40" s="470"/>
      <c r="AX40" s="470"/>
      <c r="AY40" s="470"/>
      <c r="AZ40" s="470"/>
      <c r="BA40" s="470"/>
      <c r="BB40" s="471"/>
      <c r="BC40" s="470"/>
      <c r="BD40" s="470"/>
      <c r="BE40" s="470"/>
      <c r="BF40" s="546"/>
      <c r="BG40" s="546"/>
      <c r="BH40" s="546"/>
      <c r="BI40" s="546"/>
      <c r="BJ40" s="546"/>
      <c r="BK40" s="546"/>
      <c r="BL40" s="546"/>
      <c r="BM40" s="546"/>
      <c r="BN40" s="546"/>
      <c r="BO40" s="546"/>
      <c r="BP40" s="546"/>
      <c r="BQ40" s="546"/>
      <c r="BR40" s="546"/>
      <c r="BS40" s="546"/>
      <c r="BT40" s="546"/>
      <c r="BU40" s="546"/>
      <c r="BV40" s="546"/>
      <c r="BW40" s="546"/>
      <c r="BX40" s="546"/>
      <c r="BY40" s="564"/>
      <c r="BZ40" s="546"/>
      <c r="CA40" s="546"/>
      <c r="CB40" s="546"/>
      <c r="CC40" s="546"/>
      <c r="CD40" s="546"/>
      <c r="CE40" s="546"/>
      <c r="CF40" s="546"/>
      <c r="CG40" s="546"/>
      <c r="CH40" s="475"/>
      <c r="CI40" s="476"/>
      <c r="CJ40" s="476"/>
      <c r="CK40" s="476"/>
      <c r="CL40" s="476"/>
      <c r="CM40" s="476"/>
      <c r="CN40" s="476"/>
      <c r="CO40" s="476"/>
      <c r="CP40" s="476"/>
      <c r="CQ40" s="477"/>
      <c r="CR40" s="470"/>
      <c r="CS40" s="470"/>
      <c r="CT40" s="470"/>
      <c r="CU40" s="470"/>
      <c r="CV40" s="470"/>
      <c r="CW40" s="471"/>
      <c r="CY40" s="28" t="s">
        <v>21</v>
      </c>
      <c r="CZ40" s="28"/>
      <c r="DA40" s="28"/>
      <c r="DB40" s="28"/>
    </row>
    <row r="41" spans="2:107" ht="20.100000000000001" customHeight="1">
      <c r="B41" s="468"/>
      <c r="C41" s="469"/>
      <c r="D41" s="540">
        <v>90.501000000000005</v>
      </c>
      <c r="E41" s="460"/>
      <c r="F41" s="460"/>
      <c r="G41" s="460"/>
      <c r="H41" s="469"/>
      <c r="I41" s="469"/>
      <c r="J41" s="469"/>
      <c r="K41" s="469"/>
      <c r="L41" s="469"/>
      <c r="M41" s="453"/>
      <c r="N41" s="453"/>
      <c r="O41" s="453"/>
      <c r="P41" s="453"/>
      <c r="Q41" s="453"/>
      <c r="R41" s="453"/>
      <c r="S41" s="453"/>
      <c r="T41" s="453"/>
      <c r="U41" s="453"/>
      <c r="V41" s="453"/>
      <c r="W41" s="453"/>
      <c r="X41" s="453"/>
      <c r="Y41" s="453"/>
      <c r="Z41" s="454"/>
      <c r="AA41" s="546"/>
      <c r="AB41" s="546"/>
      <c r="AC41" s="546"/>
      <c r="AD41" s="546"/>
      <c r="AE41" s="546"/>
      <c r="AF41" s="546"/>
      <c r="AG41" s="546"/>
      <c r="AH41" s="546"/>
      <c r="AI41" s="546"/>
      <c r="AJ41" s="546"/>
      <c r="AK41" s="546"/>
      <c r="AL41" s="546"/>
      <c r="AM41" s="546"/>
      <c r="AN41" s="546"/>
      <c r="AO41" s="546"/>
      <c r="AP41" s="546"/>
      <c r="AQ41" s="546"/>
      <c r="AR41" s="546"/>
      <c r="AS41" s="546"/>
      <c r="AT41" s="546"/>
      <c r="AU41" s="546"/>
      <c r="AV41" s="546"/>
      <c r="AW41" s="546"/>
      <c r="AX41" s="546"/>
      <c r="AY41" s="546"/>
      <c r="AZ41" s="546"/>
      <c r="BA41" s="546"/>
      <c r="BB41" s="563"/>
      <c r="BC41" s="546"/>
      <c r="BD41" s="546"/>
      <c r="BE41" s="546"/>
      <c r="BF41" s="546"/>
      <c r="BG41" s="546"/>
      <c r="BH41" s="546"/>
      <c r="BI41" s="546"/>
      <c r="BJ41" s="546"/>
      <c r="BK41" s="546"/>
      <c r="BL41" s="546"/>
      <c r="BM41" s="546"/>
      <c r="BN41" s="546"/>
      <c r="BO41" s="546"/>
      <c r="BP41" s="546"/>
      <c r="BQ41" s="546"/>
      <c r="BR41" s="546"/>
      <c r="BS41" s="546"/>
      <c r="BT41" s="546"/>
      <c r="BU41" s="546"/>
      <c r="BV41" s="546"/>
      <c r="BW41" s="546"/>
      <c r="BX41" s="563"/>
      <c r="BY41" s="546"/>
      <c r="BZ41" s="546"/>
      <c r="CA41" s="546"/>
      <c r="CB41" s="546"/>
      <c r="CC41" s="546"/>
      <c r="CD41" s="546"/>
      <c r="CE41" s="546"/>
      <c r="CF41" s="470"/>
      <c r="CG41" s="470"/>
      <c r="CH41" s="470"/>
      <c r="CI41" s="470"/>
      <c r="CJ41" s="470"/>
      <c r="CK41" s="470"/>
      <c r="CL41" s="470"/>
      <c r="CM41" s="470"/>
      <c r="CN41" s="470"/>
      <c r="CO41" s="470"/>
      <c r="CP41" s="470"/>
      <c r="CQ41" s="470"/>
      <c r="CR41" s="470"/>
      <c r="CS41" s="470"/>
      <c r="CT41" s="470"/>
      <c r="CU41" s="470"/>
      <c r="CV41" s="470"/>
      <c r="CW41" s="471"/>
      <c r="CY41" s="25" t="s">
        <v>22</v>
      </c>
      <c r="CZ41" s="25"/>
      <c r="DA41" s="25"/>
      <c r="DB41" s="25"/>
    </row>
    <row r="42" spans="2:107" ht="20.100000000000001" customHeight="1">
      <c r="B42" s="468"/>
      <c r="C42" s="469"/>
      <c r="D42" s="469"/>
      <c r="E42" s="469"/>
      <c r="F42" s="469"/>
      <c r="G42" s="469"/>
      <c r="H42" s="469"/>
      <c r="I42" s="469"/>
      <c r="J42" s="469"/>
      <c r="K42" s="469"/>
      <c r="L42" s="469"/>
      <c r="M42" s="478"/>
      <c r="N42" s="478"/>
      <c r="O42" s="478"/>
      <c r="P42" s="452"/>
      <c r="Q42" s="452"/>
      <c r="R42" s="452"/>
      <c r="S42" s="453"/>
      <c r="T42" s="453"/>
      <c r="U42" s="453"/>
      <c r="V42" s="453"/>
      <c r="W42" s="453"/>
      <c r="X42" s="452"/>
      <c r="Y42" s="453"/>
      <c r="Z42" s="454"/>
      <c r="AA42" s="546"/>
      <c r="AB42" s="546"/>
      <c r="AC42" s="546"/>
      <c r="AD42" s="546"/>
      <c r="AE42" s="546"/>
      <c r="AF42" s="546"/>
      <c r="AG42" s="546"/>
      <c r="AH42" s="566" t="s">
        <v>84</v>
      </c>
      <c r="AI42" s="546"/>
      <c r="AJ42" s="547"/>
      <c r="AK42" s="546"/>
      <c r="AL42" s="546"/>
      <c r="AM42" s="546"/>
      <c r="AN42" s="546"/>
      <c r="AO42" s="546"/>
      <c r="AP42" s="546"/>
      <c r="AQ42" s="546"/>
      <c r="AR42" s="546"/>
      <c r="AS42" s="546"/>
      <c r="AT42" s="546"/>
      <c r="AU42" s="546"/>
      <c r="AV42" s="546"/>
      <c r="AW42" s="546"/>
      <c r="AX42" s="546"/>
      <c r="AY42" s="546"/>
      <c r="AZ42" s="546"/>
      <c r="BA42" s="546"/>
      <c r="BB42" s="563"/>
      <c r="BC42" s="546"/>
      <c r="BD42" s="546"/>
      <c r="BE42" s="546"/>
      <c r="BF42" s="546"/>
      <c r="BG42" s="546"/>
      <c r="BH42" s="567" t="s">
        <v>86</v>
      </c>
      <c r="BI42" s="592"/>
      <c r="BJ42" s="587"/>
      <c r="BK42" s="587"/>
      <c r="BL42" s="587"/>
      <c r="BM42" s="587"/>
      <c r="BN42" s="587"/>
      <c r="BO42" s="546"/>
      <c r="BP42" s="546"/>
      <c r="BQ42" s="546"/>
      <c r="BR42" s="546"/>
      <c r="BS42" s="546"/>
      <c r="BT42" s="546"/>
      <c r="BU42" s="546"/>
      <c r="BV42" s="546"/>
      <c r="BW42" s="546"/>
      <c r="BX42" s="563"/>
      <c r="BY42" s="546"/>
      <c r="BZ42" s="567" t="s">
        <v>86</v>
      </c>
      <c r="CA42" s="546"/>
      <c r="CB42" s="546"/>
      <c r="CC42" s="546"/>
      <c r="CD42" s="546"/>
      <c r="CE42" s="546"/>
      <c r="CF42" s="470"/>
      <c r="CG42" s="470"/>
      <c r="CH42" s="470"/>
      <c r="CI42" s="470"/>
      <c r="CJ42" s="470"/>
      <c r="CK42" s="470"/>
      <c r="CL42" s="470"/>
      <c r="CM42" s="470"/>
      <c r="CN42" s="470"/>
      <c r="CO42" s="470"/>
      <c r="CP42" s="470"/>
      <c r="CQ42" s="470"/>
      <c r="CR42" s="470"/>
      <c r="CS42" s="470"/>
      <c r="CT42" s="470"/>
      <c r="CU42" s="470"/>
      <c r="CV42" s="470"/>
      <c r="CW42" s="471"/>
    </row>
    <row r="43" spans="2:107" ht="20.100000000000001" customHeight="1">
      <c r="B43" s="468"/>
      <c r="C43" s="469"/>
      <c r="D43" s="469"/>
      <c r="E43" s="469"/>
      <c r="F43" s="469"/>
      <c r="G43" s="469"/>
      <c r="H43" s="469"/>
      <c r="I43" s="469"/>
      <c r="J43" s="469"/>
      <c r="K43" s="469"/>
      <c r="L43" s="469"/>
      <c r="M43" s="478"/>
      <c r="N43" s="478"/>
      <c r="O43" s="478"/>
      <c r="P43" s="452"/>
      <c r="Q43" s="453"/>
      <c r="R43" s="453"/>
      <c r="S43" s="453"/>
      <c r="T43" s="453"/>
      <c r="U43" s="452"/>
      <c r="V43" s="452"/>
      <c r="W43" s="452"/>
      <c r="X43" s="452"/>
      <c r="Y43" s="453"/>
      <c r="Z43" s="454"/>
      <c r="AA43" s="546"/>
      <c r="AB43" s="546"/>
      <c r="AC43" s="546"/>
      <c r="AD43" s="546"/>
      <c r="AE43" s="551">
        <f>SUM(75,6,12,8,3)</f>
        <v>104</v>
      </c>
      <c r="AF43" s="549"/>
      <c r="AG43" s="549"/>
      <c r="AH43" s="552">
        <f>SUM(3.9,135.5,22.1,11.9)</f>
        <v>173.4</v>
      </c>
      <c r="AI43" s="550"/>
      <c r="AJ43" s="550"/>
      <c r="AK43" s="550"/>
      <c r="AL43" s="546"/>
      <c r="AM43" s="546"/>
      <c r="AN43" s="546"/>
      <c r="AO43" s="546"/>
      <c r="AP43" s="546"/>
      <c r="AQ43" s="546"/>
      <c r="AR43" s="546"/>
      <c r="AS43" s="546"/>
      <c r="AT43" s="546"/>
      <c r="AU43" s="546"/>
      <c r="AV43" s="546"/>
      <c r="AW43" s="546"/>
      <c r="AX43" s="546"/>
      <c r="AY43" s="546"/>
      <c r="AZ43" s="546"/>
      <c r="BA43" s="546"/>
      <c r="BB43" s="563"/>
      <c r="BC43" s="546"/>
      <c r="BD43" s="546"/>
      <c r="BE43" s="546"/>
      <c r="BF43" s="546"/>
      <c r="BG43" s="546"/>
      <c r="BH43" s="588">
        <v>51</v>
      </c>
      <c r="BI43" s="589"/>
      <c r="BJ43" s="589"/>
      <c r="BK43" s="590">
        <v>93.5</v>
      </c>
      <c r="BL43" s="589"/>
      <c r="BM43" s="589"/>
      <c r="BN43" s="589"/>
      <c r="BO43" s="546"/>
      <c r="BP43" s="546"/>
      <c r="BQ43" s="546"/>
      <c r="BR43" s="546"/>
      <c r="BS43" s="546"/>
      <c r="BT43" s="546"/>
      <c r="BU43" s="546"/>
      <c r="BV43" s="546"/>
      <c r="BW43" s="546"/>
      <c r="BX43" s="563"/>
      <c r="BY43" s="551">
        <v>8</v>
      </c>
      <c r="BZ43" s="549"/>
      <c r="CA43" s="549"/>
      <c r="CB43" s="575">
        <v>14.6</v>
      </c>
      <c r="CC43" s="549"/>
      <c r="CD43" s="549"/>
      <c r="CE43" s="549"/>
      <c r="CF43" s="546"/>
      <c r="CG43" s="546"/>
      <c r="CH43" s="546"/>
      <c r="CI43" s="470"/>
      <c r="CJ43" s="470"/>
      <c r="CK43" s="470"/>
      <c r="CL43" s="470"/>
      <c r="CM43" s="470"/>
      <c r="CN43" s="470"/>
      <c r="CO43" s="470"/>
      <c r="CP43" s="470"/>
      <c r="CQ43" s="470"/>
      <c r="CR43" s="470"/>
      <c r="CS43" s="470"/>
      <c r="CT43" s="470"/>
      <c r="CU43" s="470"/>
      <c r="CV43" s="470"/>
      <c r="CW43" s="471"/>
    </row>
    <row r="44" spans="2:107" ht="20.100000000000001" customHeight="1" thickBot="1">
      <c r="B44" s="468"/>
      <c r="C44" s="469"/>
      <c r="D44" s="469"/>
      <c r="E44" s="469"/>
      <c r="F44" s="469"/>
      <c r="G44" s="469"/>
      <c r="H44" s="469"/>
      <c r="I44" s="469"/>
      <c r="J44" s="469"/>
      <c r="K44" s="469"/>
      <c r="L44" s="469"/>
      <c r="M44" s="469"/>
      <c r="N44" s="469"/>
      <c r="O44" s="469"/>
      <c r="P44" s="453"/>
      <c r="Q44" s="453"/>
      <c r="R44" s="453"/>
      <c r="S44" s="453"/>
      <c r="T44" s="453"/>
      <c r="U44" s="453"/>
      <c r="V44" s="453"/>
      <c r="W44" s="453"/>
      <c r="X44" s="453"/>
      <c r="Y44" s="453"/>
      <c r="Z44" s="454"/>
      <c r="AA44" s="546"/>
      <c r="AB44" s="546"/>
      <c r="AC44" s="546"/>
      <c r="AD44" s="546"/>
      <c r="AE44" s="546"/>
      <c r="AF44" s="546"/>
      <c r="AG44" s="546"/>
      <c r="AH44" s="546"/>
      <c r="AI44" s="546"/>
      <c r="AJ44" s="546"/>
      <c r="AK44" s="546"/>
      <c r="AL44" s="546"/>
      <c r="AM44" s="546"/>
      <c r="AN44" s="546"/>
      <c r="AO44" s="546"/>
      <c r="AP44" s="546"/>
      <c r="AQ44" s="546"/>
      <c r="AR44" s="546"/>
      <c r="AS44" s="546"/>
      <c r="AT44" s="546"/>
      <c r="AU44" s="546"/>
      <c r="AV44" s="546"/>
      <c r="AW44" s="546"/>
      <c r="AX44" s="546"/>
      <c r="AY44" s="546"/>
      <c r="AZ44" s="546"/>
      <c r="BA44" s="546"/>
      <c r="BB44" s="563"/>
      <c r="BC44" s="546"/>
      <c r="BD44" s="546"/>
      <c r="BE44" s="546"/>
      <c r="BF44" s="546"/>
      <c r="BG44" s="546"/>
      <c r="BH44" s="546"/>
      <c r="BI44" s="546"/>
      <c r="BJ44" s="546"/>
      <c r="BK44" s="546"/>
      <c r="BL44" s="546"/>
      <c r="BM44" s="546"/>
      <c r="BN44" s="546"/>
      <c r="BO44" s="546"/>
      <c r="BP44" s="546"/>
      <c r="BQ44" s="546"/>
      <c r="BR44" s="546"/>
      <c r="BS44" s="546"/>
      <c r="BT44" s="546"/>
      <c r="BU44" s="546"/>
      <c r="BV44" s="546"/>
      <c r="BW44" s="546"/>
      <c r="BX44" s="568"/>
      <c r="BY44" s="546"/>
      <c r="BZ44" s="546"/>
      <c r="CA44" s="546"/>
      <c r="CB44" s="546"/>
      <c r="CC44" s="546"/>
      <c r="CD44" s="546"/>
      <c r="CE44" s="546"/>
      <c r="CF44" s="546"/>
      <c r="CG44" s="546"/>
      <c r="CH44" s="546"/>
      <c r="CI44" s="470"/>
      <c r="CJ44" s="470"/>
      <c r="CK44" s="470"/>
      <c r="CL44" s="470"/>
      <c r="CM44" s="470"/>
      <c r="CN44" s="470"/>
      <c r="CO44" s="470"/>
      <c r="CP44" s="470"/>
      <c r="CQ44" s="470"/>
      <c r="CR44" s="470"/>
      <c r="CS44" s="470"/>
      <c r="CT44" s="470"/>
      <c r="CU44" s="470"/>
      <c r="CV44" s="470"/>
      <c r="CW44" s="471"/>
    </row>
    <row r="45" spans="2:107" ht="20.100000000000001" customHeight="1">
      <c r="B45" s="580"/>
      <c r="C45" s="541"/>
      <c r="D45" s="541"/>
      <c r="E45" s="541"/>
      <c r="F45" s="541"/>
      <c r="G45" s="541"/>
      <c r="H45" s="541"/>
      <c r="I45" s="541"/>
      <c r="J45" s="479"/>
      <c r="K45" s="480"/>
      <c r="L45" s="480"/>
      <c r="M45" s="480"/>
      <c r="N45" s="481"/>
      <c r="O45" s="541"/>
      <c r="P45" s="541"/>
      <c r="Q45" s="541"/>
      <c r="R45" s="541"/>
      <c r="S45" s="541"/>
      <c r="T45" s="541"/>
      <c r="U45" s="541"/>
      <c r="V45" s="541"/>
      <c r="W45" s="541"/>
      <c r="X45" s="541"/>
      <c r="Y45" s="541"/>
      <c r="Z45" s="542"/>
      <c r="AA45" s="541"/>
      <c r="AB45" s="541"/>
      <c r="AC45" s="541"/>
      <c r="AD45" s="541"/>
      <c r="AE45" s="541"/>
      <c r="AF45" s="541"/>
      <c r="AG45" s="541"/>
      <c r="AH45" s="541"/>
      <c r="AI45" s="541"/>
      <c r="AJ45" s="541"/>
      <c r="AK45" s="541"/>
      <c r="AL45" s="541"/>
      <c r="AM45" s="541"/>
      <c r="AN45" s="541"/>
      <c r="AO45" s="541"/>
      <c r="AP45" s="541"/>
      <c r="AQ45" s="541"/>
      <c r="AR45" s="541"/>
      <c r="AS45" s="541"/>
      <c r="AT45" s="541"/>
      <c r="AU45" s="541"/>
      <c r="AV45" s="541"/>
      <c r="AW45" s="541"/>
      <c r="AX45" s="541"/>
      <c r="AY45" s="541"/>
      <c r="AZ45" s="541"/>
      <c r="BA45" s="541"/>
      <c r="BB45" s="542"/>
      <c r="BC45" s="541"/>
      <c r="BD45" s="541"/>
      <c r="BE45" s="541"/>
      <c r="BF45" s="541"/>
      <c r="BG45" s="541"/>
      <c r="BH45" s="541"/>
      <c r="BI45" s="541"/>
      <c r="BJ45" s="541"/>
      <c r="BK45" s="541"/>
      <c r="BL45" s="541"/>
      <c r="BM45" s="541"/>
      <c r="BN45" s="541"/>
      <c r="BO45" s="541"/>
      <c r="BP45" s="541"/>
      <c r="BQ45" s="541"/>
      <c r="BR45" s="541"/>
      <c r="BS45" s="541"/>
      <c r="BT45" s="541"/>
      <c r="BU45" s="586" t="s">
        <v>90</v>
      </c>
      <c r="BV45" s="548"/>
      <c r="BW45" s="548"/>
      <c r="BX45" s="548"/>
      <c r="BY45" s="565"/>
      <c r="BZ45" s="548"/>
      <c r="CA45" s="548"/>
      <c r="CB45" s="548"/>
      <c r="CC45" s="548"/>
      <c r="CD45" s="548"/>
      <c r="CE45" s="548"/>
      <c r="CF45" s="548"/>
      <c r="CG45" s="548"/>
      <c r="CH45" s="548"/>
      <c r="CI45" s="548"/>
      <c r="CJ45" s="548"/>
      <c r="CK45" s="548"/>
      <c r="CL45" s="548"/>
      <c r="CM45" s="548"/>
      <c r="CN45" s="548"/>
      <c r="CO45" s="548"/>
      <c r="CP45" s="548"/>
      <c r="CQ45" s="548"/>
      <c r="CR45" s="548"/>
      <c r="CS45" s="548"/>
      <c r="CT45" s="548"/>
      <c r="CU45" s="548"/>
      <c r="CV45" s="483"/>
      <c r="CW45" s="493"/>
      <c r="CY45" s="11" t="s">
        <v>3</v>
      </c>
    </row>
    <row r="46" spans="2:107" ht="20.100000000000001" customHeight="1" thickBot="1">
      <c r="B46" s="579"/>
      <c r="C46" s="453"/>
      <c r="D46" s="453"/>
      <c r="E46" s="453"/>
      <c r="F46" s="453"/>
      <c r="G46" s="453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453"/>
      <c r="U46" s="453"/>
      <c r="V46" s="453"/>
      <c r="W46" s="453"/>
      <c r="X46" s="453"/>
      <c r="Y46" s="453"/>
      <c r="Z46" s="454"/>
      <c r="AA46" s="453"/>
      <c r="AB46" s="453"/>
      <c r="AC46" s="453"/>
      <c r="AD46" s="453"/>
      <c r="AE46" s="453"/>
      <c r="AF46" s="453"/>
      <c r="AG46" s="453"/>
      <c r="AH46" s="453"/>
      <c r="AI46" s="453"/>
      <c r="AJ46" s="453"/>
      <c r="AK46" s="453"/>
      <c r="AL46" s="453"/>
      <c r="AM46" s="453"/>
      <c r="AN46" s="453"/>
      <c r="AO46" s="453"/>
      <c r="AP46" s="453"/>
      <c r="AQ46" s="453"/>
      <c r="AR46" s="453"/>
      <c r="AS46" s="453"/>
      <c r="AT46" s="453"/>
      <c r="AU46" s="453"/>
      <c r="AV46" s="453"/>
      <c r="AW46" s="453"/>
      <c r="AX46" s="453"/>
      <c r="AY46" s="453"/>
      <c r="AZ46" s="453"/>
      <c r="BA46" s="453"/>
      <c r="BB46" s="454"/>
      <c r="BC46" s="453"/>
      <c r="BD46" s="453"/>
      <c r="BE46" s="453"/>
      <c r="BF46" s="453"/>
      <c r="BG46" s="453"/>
      <c r="BH46" s="453"/>
      <c r="BI46" s="453"/>
      <c r="BJ46" s="453"/>
      <c r="BK46" s="453"/>
      <c r="BL46" s="453"/>
      <c r="BM46" s="453"/>
      <c r="BN46" s="453"/>
      <c r="BO46" s="453"/>
      <c r="BP46" s="453"/>
      <c r="BQ46" s="453"/>
      <c r="BR46" s="453"/>
      <c r="BS46" s="453"/>
      <c r="BT46" s="453"/>
      <c r="BU46" s="567" t="s">
        <v>62</v>
      </c>
      <c r="BV46" s="546"/>
      <c r="BW46" s="546"/>
      <c r="BX46" s="546"/>
      <c r="BY46" s="564"/>
      <c r="BZ46" s="546"/>
      <c r="CA46" s="567" t="s">
        <v>86</v>
      </c>
      <c r="CB46" s="546"/>
      <c r="CC46" s="546"/>
      <c r="CD46" s="546"/>
      <c r="CE46" s="546"/>
      <c r="CF46" s="546"/>
      <c r="CG46" s="546"/>
      <c r="CH46" s="546"/>
      <c r="CI46" s="546"/>
      <c r="CJ46" s="546"/>
      <c r="CK46" s="546"/>
      <c r="CL46" s="546"/>
      <c r="CM46" s="546"/>
      <c r="CN46" s="546"/>
      <c r="CO46" s="546"/>
      <c r="CP46" s="546"/>
      <c r="CQ46" s="546"/>
      <c r="CR46" s="546"/>
      <c r="CS46" s="546"/>
      <c r="CT46" s="546"/>
      <c r="CU46" s="546"/>
      <c r="CV46" s="485"/>
      <c r="CW46" s="494"/>
      <c r="CY46" s="15" t="s">
        <v>23</v>
      </c>
    </row>
    <row r="47" spans="2:107" ht="20.100000000000001" customHeight="1" thickTop="1" thickBot="1">
      <c r="B47" s="579"/>
      <c r="C47" s="453"/>
      <c r="D47" s="453"/>
      <c r="E47" s="453"/>
      <c r="F47" s="453"/>
      <c r="G47" s="453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453"/>
      <c r="U47" s="453"/>
      <c r="V47" s="453"/>
      <c r="W47" s="453"/>
      <c r="X47" s="453"/>
      <c r="Y47" s="453"/>
      <c r="Z47" s="454"/>
      <c r="AA47" s="453"/>
      <c r="AB47" s="453"/>
      <c r="AC47" s="453"/>
      <c r="AD47" s="453"/>
      <c r="AE47" s="453"/>
      <c r="AF47" s="453"/>
      <c r="AG47" s="453"/>
      <c r="AH47" s="453"/>
      <c r="AI47" s="453"/>
      <c r="AJ47" s="453"/>
      <c r="AK47" s="453"/>
      <c r="AL47" s="453"/>
      <c r="AM47" s="453"/>
      <c r="AN47" s="453"/>
      <c r="AO47" s="453"/>
      <c r="AP47" s="453"/>
      <c r="AQ47" s="453"/>
      <c r="AR47" s="453"/>
      <c r="AS47" s="453"/>
      <c r="AT47" s="453"/>
      <c r="AU47" s="453"/>
      <c r="AV47" s="453"/>
      <c r="AW47" s="453"/>
      <c r="AX47" s="453"/>
      <c r="AY47" s="453"/>
      <c r="AZ47" s="453"/>
      <c r="BA47" s="453"/>
      <c r="BB47" s="454"/>
      <c r="BC47" s="453"/>
      <c r="BD47" s="453"/>
      <c r="BE47" s="453"/>
      <c r="BF47" s="453"/>
      <c r="BG47" s="453"/>
      <c r="BH47" s="453"/>
      <c r="BI47" s="453"/>
      <c r="BJ47" s="453"/>
      <c r="BK47" s="453"/>
      <c r="BL47" s="453"/>
      <c r="BM47" s="453"/>
      <c r="BN47" s="453"/>
      <c r="BO47" s="453"/>
      <c r="BP47" s="453"/>
      <c r="BQ47" s="453"/>
      <c r="BR47" s="453"/>
      <c r="BS47" s="453"/>
      <c r="BT47" s="453"/>
      <c r="BU47" s="551">
        <v>4</v>
      </c>
      <c r="BV47" s="549"/>
      <c r="BW47" s="549"/>
      <c r="BX47" s="546"/>
      <c r="BY47" s="564"/>
      <c r="BZ47" s="551">
        <v>42</v>
      </c>
      <c r="CA47" s="549"/>
      <c r="CB47" s="549"/>
      <c r="CC47" s="575">
        <v>77.001000000000005</v>
      </c>
      <c r="CD47" s="549"/>
      <c r="CE47" s="549"/>
      <c r="CF47" s="549"/>
      <c r="CG47" s="546"/>
      <c r="CH47" s="546"/>
      <c r="CI47" s="546"/>
      <c r="CJ47" s="546"/>
      <c r="CK47" s="546"/>
      <c r="CL47" s="546"/>
      <c r="CM47" s="546"/>
      <c r="CN47" s="546"/>
      <c r="CO47" s="546"/>
      <c r="CP47" s="546"/>
      <c r="CQ47" s="546"/>
      <c r="CR47" s="546"/>
      <c r="CS47" s="546"/>
      <c r="CT47" s="546"/>
      <c r="CU47" s="546"/>
      <c r="CV47" s="485"/>
      <c r="CW47" s="494"/>
      <c r="CY47" s="64">
        <f>DC47</f>
        <v>433</v>
      </c>
      <c r="CZ47" s="65"/>
      <c r="DA47" s="65"/>
      <c r="DB47" s="66"/>
      <c r="DC47" s="29">
        <f t="array" ref="DC47:DC48">TRANSPOSE(TotalUnitsAndWeightsSum(DECK10))</f>
        <v>433</v>
      </c>
    </row>
    <row r="48" spans="2:107" ht="20.100000000000001" customHeight="1" thickTop="1" thickBot="1">
      <c r="B48" s="579"/>
      <c r="C48" s="447" t="s">
        <v>89</v>
      </c>
      <c r="D48" s="447"/>
      <c r="E48" s="447"/>
      <c r="F48" s="447"/>
      <c r="G48" s="447"/>
      <c r="H48" s="453"/>
      <c r="I48" s="453"/>
      <c r="J48" s="453"/>
      <c r="K48" s="453"/>
      <c r="L48" s="447" t="s">
        <v>85</v>
      </c>
      <c r="M48" s="447"/>
      <c r="N48" s="447"/>
      <c r="O48" s="447"/>
      <c r="P48" s="447"/>
      <c r="Q48" s="453"/>
      <c r="R48" s="453"/>
      <c r="S48" s="453"/>
      <c r="T48" s="453"/>
      <c r="U48" s="453"/>
      <c r="V48" s="453"/>
      <c r="W48" s="453"/>
      <c r="X48" s="453"/>
      <c r="Y48" s="453"/>
      <c r="Z48" s="454"/>
      <c r="AA48" s="453"/>
      <c r="AB48" s="447" t="s">
        <v>85</v>
      </c>
      <c r="AC48" s="447"/>
      <c r="AD48" s="447"/>
      <c r="AE48" s="447"/>
      <c r="AF48" s="447"/>
      <c r="AG48" s="453"/>
      <c r="AH48" s="453"/>
      <c r="AI48" s="453"/>
      <c r="AJ48" s="453"/>
      <c r="AK48" s="453"/>
      <c r="AL48" s="553"/>
      <c r="AM48" s="554"/>
      <c r="AN48" s="554"/>
      <c r="AO48" s="554"/>
      <c r="AP48" s="554"/>
      <c r="AQ48" s="554"/>
      <c r="AR48" s="554"/>
      <c r="AS48" s="554"/>
      <c r="AT48" s="554"/>
      <c r="AU48" s="554"/>
      <c r="AV48" s="555"/>
      <c r="AW48" s="453"/>
      <c r="AX48" s="453"/>
      <c r="AY48" s="453"/>
      <c r="AZ48" s="453"/>
      <c r="BA48" s="453"/>
      <c r="BB48" s="454"/>
      <c r="BC48" s="453"/>
      <c r="BD48" s="453"/>
      <c r="BE48" s="453"/>
      <c r="BF48" s="453"/>
      <c r="BG48" s="591" t="s">
        <v>85</v>
      </c>
      <c r="BH48" s="591"/>
      <c r="BI48" s="591"/>
      <c r="BJ48" s="591"/>
      <c r="BK48" s="591"/>
      <c r="BL48" s="453"/>
      <c r="BM48" s="453"/>
      <c r="BN48" s="453"/>
      <c r="BO48" s="453"/>
      <c r="BP48" s="453"/>
      <c r="BQ48" s="453"/>
      <c r="BR48" s="453"/>
      <c r="BS48" s="453"/>
      <c r="BT48" s="453"/>
      <c r="BU48" s="575">
        <v>7.3</v>
      </c>
      <c r="BV48" s="549"/>
      <c r="BW48" s="549"/>
      <c r="BX48" s="546"/>
      <c r="BY48" s="564"/>
      <c r="BZ48" s="546"/>
      <c r="CA48" s="546"/>
      <c r="CB48" s="546"/>
      <c r="CC48" s="546"/>
      <c r="CD48" s="582"/>
      <c r="CE48" s="582"/>
      <c r="CF48" s="582"/>
      <c r="CG48" s="487"/>
      <c r="CH48" s="488"/>
      <c r="CI48" s="488"/>
      <c r="CJ48" s="488"/>
      <c r="CK48" s="488"/>
      <c r="CL48" s="488"/>
      <c r="CM48" s="488"/>
      <c r="CN48" s="488"/>
      <c r="CO48" s="488"/>
      <c r="CP48" s="488"/>
      <c r="CQ48" s="488"/>
      <c r="CR48" s="489"/>
      <c r="CS48" s="485"/>
      <c r="CT48" s="485"/>
      <c r="CU48" s="485"/>
      <c r="CV48" s="485"/>
      <c r="CW48" s="494"/>
      <c r="CY48" s="67">
        <f>DC48</f>
        <v>818.20500000000004</v>
      </c>
      <c r="CZ48" s="68"/>
      <c r="DA48" s="68"/>
      <c r="DB48" s="69"/>
      <c r="DC48" s="29">
        <v>818.20500000000004</v>
      </c>
    </row>
    <row r="49" spans="2:109" ht="20.100000000000001" customHeight="1" thickTop="1">
      <c r="B49" s="579"/>
      <c r="C49" s="449">
        <v>47</v>
      </c>
      <c r="D49" s="450"/>
      <c r="E49" s="450"/>
      <c r="F49" s="453"/>
      <c r="G49" s="453"/>
      <c r="H49" s="453"/>
      <c r="I49" s="453"/>
      <c r="J49" s="453"/>
      <c r="K49" s="453"/>
      <c r="L49" s="449">
        <v>59</v>
      </c>
      <c r="M49" s="450"/>
      <c r="N49" s="450"/>
      <c r="O49" s="453"/>
      <c r="P49" s="453"/>
      <c r="Q49" s="453"/>
      <c r="R49" s="453"/>
      <c r="S49" s="453"/>
      <c r="T49" s="453"/>
      <c r="U49" s="453"/>
      <c r="V49" s="453"/>
      <c r="W49" s="453"/>
      <c r="X49" s="453"/>
      <c r="Y49" s="453"/>
      <c r="Z49" s="454"/>
      <c r="AA49" s="453"/>
      <c r="AB49" s="449">
        <v>133</v>
      </c>
      <c r="AC49" s="450"/>
      <c r="AD49" s="450"/>
      <c r="AE49" s="453"/>
      <c r="AF49" s="453"/>
      <c r="AG49" s="453"/>
      <c r="AH49" s="453"/>
      <c r="AI49" s="453"/>
      <c r="AJ49" s="453"/>
      <c r="AK49" s="453"/>
      <c r="AL49" s="556"/>
      <c r="AM49" s="557"/>
      <c r="AN49" s="557"/>
      <c r="AO49" s="557"/>
      <c r="AP49" s="557"/>
      <c r="AQ49" s="557"/>
      <c r="AR49" s="557"/>
      <c r="AS49" s="557"/>
      <c r="AT49" s="557"/>
      <c r="AU49" s="557"/>
      <c r="AV49" s="558"/>
      <c r="AW49" s="453"/>
      <c r="AX49" s="453"/>
      <c r="AY49" s="453"/>
      <c r="AZ49" s="453"/>
      <c r="BA49" s="453"/>
      <c r="BB49" s="454"/>
      <c r="BC49" s="453"/>
      <c r="BD49" s="453"/>
      <c r="BE49" s="453"/>
      <c r="BF49" s="453"/>
      <c r="BG49" s="456">
        <v>96</v>
      </c>
      <c r="BH49" s="457"/>
      <c r="BI49" s="457"/>
      <c r="BJ49" s="458"/>
      <c r="BK49" s="458"/>
      <c r="BL49" s="453"/>
      <c r="BM49" s="453"/>
      <c r="BN49" s="453"/>
      <c r="BO49" s="453"/>
      <c r="BP49" s="453"/>
      <c r="BQ49" s="453"/>
      <c r="BR49" s="453"/>
      <c r="BS49" s="453"/>
      <c r="BT49" s="453"/>
      <c r="BU49" s="546"/>
      <c r="BV49" s="546"/>
      <c r="BW49" s="546"/>
      <c r="BX49" s="546"/>
      <c r="BY49" s="564"/>
      <c r="BZ49" s="546"/>
      <c r="CA49" s="546"/>
      <c r="CB49" s="546"/>
      <c r="CC49" s="546"/>
      <c r="CD49" s="582"/>
      <c r="CE49" s="582"/>
      <c r="CF49" s="582"/>
      <c r="CG49" s="490"/>
      <c r="CH49" s="491"/>
      <c r="CI49" s="491"/>
      <c r="CJ49" s="491"/>
      <c r="CK49" s="491"/>
      <c r="CL49" s="491"/>
      <c r="CM49" s="491"/>
      <c r="CN49" s="491"/>
      <c r="CO49" s="491"/>
      <c r="CP49" s="491"/>
      <c r="CQ49" s="491"/>
      <c r="CR49" s="492"/>
      <c r="CS49" s="485"/>
      <c r="CT49" s="485"/>
      <c r="CU49" s="485"/>
      <c r="CV49" s="485"/>
      <c r="CW49" s="494"/>
      <c r="CY49" s="13" t="s">
        <v>24</v>
      </c>
    </row>
    <row r="50" spans="2:109" ht="20.100000000000001" customHeight="1">
      <c r="B50" s="579"/>
      <c r="C50" s="451">
        <v>73.900999999999996</v>
      </c>
      <c r="D50" s="450"/>
      <c r="E50" s="450"/>
      <c r="F50" s="450"/>
      <c r="G50" s="453"/>
      <c r="H50" s="453"/>
      <c r="I50" s="453"/>
      <c r="J50" s="453"/>
      <c r="K50" s="453"/>
      <c r="L50" s="451">
        <v>114.501</v>
      </c>
      <c r="M50" s="450"/>
      <c r="N50" s="450"/>
      <c r="O50" s="450"/>
      <c r="P50" s="453"/>
      <c r="Q50" s="453"/>
      <c r="R50" s="453"/>
      <c r="S50" s="453"/>
      <c r="T50" s="453"/>
      <c r="U50" s="453"/>
      <c r="V50" s="453"/>
      <c r="W50" s="453"/>
      <c r="X50" s="453"/>
      <c r="Y50" s="453"/>
      <c r="Z50" s="454"/>
      <c r="AA50" s="453"/>
      <c r="AB50" s="451">
        <v>258.20100000000002</v>
      </c>
      <c r="AC50" s="450"/>
      <c r="AD50" s="450"/>
      <c r="AE50" s="450"/>
      <c r="AF50" s="453"/>
      <c r="AG50" s="453"/>
      <c r="AH50" s="453"/>
      <c r="AI50" s="453"/>
      <c r="AJ50" s="453"/>
      <c r="AK50" s="453"/>
      <c r="AL50" s="453"/>
      <c r="AM50" s="453"/>
      <c r="AN50" s="453"/>
      <c r="AO50" s="453"/>
      <c r="AP50" s="453"/>
      <c r="AQ50" s="453"/>
      <c r="AR50" s="453"/>
      <c r="AS50" s="453"/>
      <c r="AT50" s="453"/>
      <c r="AU50" s="453"/>
      <c r="AV50" s="453"/>
      <c r="AW50" s="453"/>
      <c r="AX50" s="453"/>
      <c r="AY50" s="453"/>
      <c r="AZ50" s="453"/>
      <c r="BA50" s="453"/>
      <c r="BB50" s="454"/>
      <c r="BC50" s="453"/>
      <c r="BD50" s="453"/>
      <c r="BE50" s="453"/>
      <c r="BF50" s="453"/>
      <c r="BG50" s="459">
        <v>186.40100000000001</v>
      </c>
      <c r="BH50" s="457"/>
      <c r="BI50" s="457"/>
      <c r="BJ50" s="457"/>
      <c r="BK50" s="458"/>
      <c r="BL50" s="453"/>
      <c r="BM50" s="453"/>
      <c r="BN50" s="453"/>
      <c r="BO50" s="453"/>
      <c r="BP50" s="453"/>
      <c r="BQ50" s="453"/>
      <c r="BR50" s="453"/>
      <c r="BS50" s="453"/>
      <c r="BT50" s="453"/>
      <c r="BU50" s="453"/>
      <c r="BV50" s="453"/>
      <c r="BW50" s="453"/>
      <c r="BX50" s="453"/>
      <c r="BY50" s="579"/>
      <c r="BZ50" s="453"/>
      <c r="CA50" s="447" t="s">
        <v>85</v>
      </c>
      <c r="CB50" s="447"/>
      <c r="CC50" s="447"/>
      <c r="CD50" s="447"/>
      <c r="CE50" s="447"/>
      <c r="CF50" s="453"/>
      <c r="CG50" s="453"/>
      <c r="CH50" s="453"/>
      <c r="CI50" s="453"/>
      <c r="CJ50" s="453"/>
      <c r="CK50" s="453"/>
      <c r="CL50" s="453"/>
      <c r="CM50" s="453"/>
      <c r="CN50" s="453"/>
      <c r="CO50" s="453"/>
      <c r="CP50" s="453"/>
      <c r="CQ50" s="453"/>
      <c r="CR50" s="453"/>
      <c r="CS50" s="453"/>
      <c r="CT50" s="453"/>
      <c r="CU50" s="453"/>
      <c r="CV50" s="453"/>
      <c r="CW50" s="454"/>
      <c r="CY50" s="14" t="s">
        <v>25</v>
      </c>
    </row>
    <row r="51" spans="2:109" ht="20.100000000000001" customHeight="1">
      <c r="B51" s="579"/>
      <c r="C51" s="453"/>
      <c r="D51" s="453"/>
      <c r="E51" s="453"/>
      <c r="F51" s="453"/>
      <c r="G51" s="453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453"/>
      <c r="U51" s="453"/>
      <c r="V51" s="453"/>
      <c r="W51" s="453"/>
      <c r="X51" s="453"/>
      <c r="Y51" s="453"/>
      <c r="Z51" s="454"/>
      <c r="AA51" s="453"/>
      <c r="AB51" s="453"/>
      <c r="AC51" s="453"/>
      <c r="AD51" s="453"/>
      <c r="AE51" s="453"/>
      <c r="AF51" s="453"/>
      <c r="AG51" s="453"/>
      <c r="AH51" s="453"/>
      <c r="AI51" s="453"/>
      <c r="AJ51" s="453"/>
      <c r="AK51" s="453"/>
      <c r="AL51" s="453"/>
      <c r="AM51" s="453"/>
      <c r="AN51" s="453"/>
      <c r="AO51" s="453"/>
      <c r="AP51" s="453"/>
      <c r="AQ51" s="453"/>
      <c r="AR51" s="453"/>
      <c r="AS51" s="453"/>
      <c r="AT51" s="453"/>
      <c r="AU51" s="453"/>
      <c r="AV51" s="453"/>
      <c r="AW51" s="453"/>
      <c r="AX51" s="453"/>
      <c r="AY51" s="453"/>
      <c r="AZ51" s="453"/>
      <c r="BA51" s="453"/>
      <c r="BB51" s="454"/>
      <c r="BC51" s="453"/>
      <c r="BD51" s="453"/>
      <c r="BE51" s="453"/>
      <c r="BF51" s="453"/>
      <c r="BG51" s="453"/>
      <c r="BH51" s="453"/>
      <c r="BI51" s="453"/>
      <c r="BJ51" s="453"/>
      <c r="BK51" s="453"/>
      <c r="BL51" s="453"/>
      <c r="BM51" s="453"/>
      <c r="BN51" s="453"/>
      <c r="BO51" s="453"/>
      <c r="BP51" s="453"/>
      <c r="BQ51" s="453"/>
      <c r="BR51" s="453"/>
      <c r="BS51" s="453"/>
      <c r="BT51" s="453"/>
      <c r="BU51" s="453"/>
      <c r="BV51" s="453"/>
      <c r="BW51" s="453"/>
      <c r="BX51" s="453"/>
      <c r="BY51" s="579"/>
      <c r="BZ51" s="453"/>
      <c r="CA51" s="449">
        <v>52</v>
      </c>
      <c r="CB51" s="450"/>
      <c r="CC51" s="450"/>
      <c r="CD51" s="453"/>
      <c r="CE51" s="453"/>
      <c r="CF51" s="453"/>
      <c r="CG51" s="453"/>
      <c r="CH51" s="585"/>
      <c r="CI51" s="585"/>
      <c r="CJ51" s="585"/>
      <c r="CK51" s="585"/>
      <c r="CL51" s="585"/>
      <c r="CM51" s="585"/>
      <c r="CN51" s="585"/>
      <c r="CO51" s="585"/>
      <c r="CP51" s="585"/>
      <c r="CQ51" s="585"/>
      <c r="CR51" s="585"/>
      <c r="CS51" s="585"/>
      <c r="CT51" s="453"/>
      <c r="CU51" s="453"/>
      <c r="CV51" s="453"/>
      <c r="CW51" s="454"/>
      <c r="CY51" s="13"/>
    </row>
    <row r="52" spans="2:109" ht="20.100000000000001" customHeight="1">
      <c r="B52" s="579"/>
      <c r="C52" s="453"/>
      <c r="D52" s="453"/>
      <c r="E52" s="453"/>
      <c r="F52" s="453"/>
      <c r="G52" s="453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453"/>
      <c r="U52" s="453"/>
      <c r="V52" s="453"/>
      <c r="W52" s="453"/>
      <c r="X52" s="453"/>
      <c r="Y52" s="453"/>
      <c r="Z52" s="454"/>
      <c r="AA52" s="453"/>
      <c r="AB52" s="453"/>
      <c r="AC52" s="453"/>
      <c r="AD52" s="453"/>
      <c r="AE52" s="453"/>
      <c r="AF52" s="453"/>
      <c r="AG52" s="453"/>
      <c r="AH52" s="453"/>
      <c r="AI52" s="453"/>
      <c r="AJ52" s="453"/>
      <c r="AK52" s="453"/>
      <c r="AL52" s="453"/>
      <c r="AM52" s="453"/>
      <c r="AN52" s="453"/>
      <c r="AO52" s="453"/>
      <c r="AP52" s="453"/>
      <c r="AQ52" s="453"/>
      <c r="AR52" s="453"/>
      <c r="AS52" s="453"/>
      <c r="AT52" s="453"/>
      <c r="AU52" s="453"/>
      <c r="AV52" s="453"/>
      <c r="AW52" s="453"/>
      <c r="AX52" s="453"/>
      <c r="AY52" s="453"/>
      <c r="AZ52" s="453"/>
      <c r="BA52" s="453"/>
      <c r="BB52" s="454"/>
      <c r="BC52" s="453"/>
      <c r="BD52" s="453"/>
      <c r="BE52" s="453"/>
      <c r="BF52" s="453"/>
      <c r="BG52" s="453"/>
      <c r="BH52" s="453"/>
      <c r="BI52" s="453"/>
      <c r="BJ52" s="453"/>
      <c r="BK52" s="453"/>
      <c r="BL52" s="453"/>
      <c r="BM52" s="453"/>
      <c r="BN52" s="453"/>
      <c r="BO52" s="453"/>
      <c r="BP52" s="453"/>
      <c r="BQ52" s="453"/>
      <c r="BR52" s="453"/>
      <c r="BS52" s="453"/>
      <c r="BT52" s="453"/>
      <c r="BU52" s="453"/>
      <c r="BV52" s="453"/>
      <c r="BW52" s="453"/>
      <c r="BX52" s="453"/>
      <c r="BY52" s="579"/>
      <c r="BZ52" s="453"/>
      <c r="CA52" s="451">
        <v>100.9</v>
      </c>
      <c r="CB52" s="450"/>
      <c r="CC52" s="450"/>
      <c r="CD52" s="450"/>
      <c r="CE52" s="453"/>
      <c r="CF52" s="453"/>
      <c r="CG52" s="453"/>
      <c r="CH52" s="585"/>
      <c r="CI52" s="585"/>
      <c r="CJ52" s="585"/>
      <c r="CK52" s="585"/>
      <c r="CL52" s="585"/>
      <c r="CM52" s="585"/>
      <c r="CN52" s="585"/>
      <c r="CO52" s="585"/>
      <c r="CP52" s="585"/>
      <c r="CQ52" s="585"/>
      <c r="CR52" s="585"/>
      <c r="CS52" s="585"/>
      <c r="CT52" s="453"/>
      <c r="CU52" s="453"/>
      <c r="CV52" s="453"/>
      <c r="CW52" s="454"/>
      <c r="CY52" s="14"/>
    </row>
    <row r="53" spans="2:109" ht="20.100000000000001" customHeight="1" thickBot="1">
      <c r="B53" s="579"/>
      <c r="C53" s="453"/>
      <c r="D53" s="453"/>
      <c r="E53" s="453"/>
      <c r="F53" s="453"/>
      <c r="G53" s="453"/>
      <c r="H53" s="453"/>
      <c r="I53" s="453"/>
      <c r="J53" s="453"/>
      <c r="K53" s="453"/>
      <c r="L53" s="453"/>
      <c r="M53" s="453"/>
      <c r="N53" s="453"/>
      <c r="O53" s="453"/>
      <c r="P53" s="453"/>
      <c r="Q53" s="453"/>
      <c r="R53" s="453"/>
      <c r="S53" s="453"/>
      <c r="T53" s="453"/>
      <c r="U53" s="453"/>
      <c r="V53" s="453"/>
      <c r="W53" s="453"/>
      <c r="X53" s="453"/>
      <c r="Y53" s="453"/>
      <c r="Z53" s="454"/>
      <c r="AA53" s="453"/>
      <c r="AB53" s="453"/>
      <c r="AC53" s="453"/>
      <c r="AD53" s="453"/>
      <c r="AE53" s="453"/>
      <c r="AF53" s="453"/>
      <c r="AG53" s="453"/>
      <c r="AH53" s="453"/>
      <c r="AI53" s="453"/>
      <c r="AJ53" s="453"/>
      <c r="AK53" s="453"/>
      <c r="AL53" s="453"/>
      <c r="AM53" s="453"/>
      <c r="AN53" s="453"/>
      <c r="AO53" s="453"/>
      <c r="AP53" s="453"/>
      <c r="AQ53" s="453"/>
      <c r="AR53" s="453"/>
      <c r="AS53" s="453"/>
      <c r="AT53" s="453"/>
      <c r="AU53" s="453"/>
      <c r="AV53" s="453"/>
      <c r="AW53" s="453"/>
      <c r="AX53" s="453"/>
      <c r="AY53" s="453"/>
      <c r="AZ53" s="453"/>
      <c r="BA53" s="453"/>
      <c r="BB53" s="454"/>
      <c r="BC53" s="453"/>
      <c r="BD53" s="453"/>
      <c r="BE53" s="453"/>
      <c r="BF53" s="453"/>
      <c r="BG53" s="453"/>
      <c r="BH53" s="453"/>
      <c r="BI53" s="453"/>
      <c r="BJ53" s="453"/>
      <c r="BK53" s="453"/>
      <c r="BL53" s="453"/>
      <c r="BM53" s="453"/>
      <c r="BN53" s="453"/>
      <c r="BO53" s="453"/>
      <c r="BP53" s="453"/>
      <c r="BQ53" s="453"/>
      <c r="BR53" s="453"/>
      <c r="BS53" s="453"/>
      <c r="BT53" s="453"/>
      <c r="BU53" s="453"/>
      <c r="BV53" s="453"/>
      <c r="BW53" s="453"/>
      <c r="BX53" s="453"/>
      <c r="BY53" s="579"/>
      <c r="BZ53" s="453"/>
      <c r="CA53" s="453"/>
      <c r="CB53" s="453"/>
      <c r="CC53" s="453"/>
      <c r="CD53" s="453"/>
      <c r="CE53" s="453"/>
      <c r="CF53" s="453"/>
      <c r="CG53" s="453"/>
      <c r="CH53" s="453"/>
      <c r="CI53" s="453"/>
      <c r="CJ53" s="453"/>
      <c r="CK53" s="453"/>
      <c r="CL53" s="453"/>
      <c r="CM53" s="453"/>
      <c r="CN53" s="453"/>
      <c r="CO53" s="453"/>
      <c r="CP53" s="453"/>
      <c r="CQ53" s="453"/>
      <c r="CR53" s="453"/>
      <c r="CS53" s="453"/>
      <c r="CT53" s="453"/>
      <c r="CU53" s="453"/>
      <c r="CV53" s="453"/>
      <c r="CW53" s="454"/>
    </row>
    <row r="54" spans="2:109" ht="20.100000000000001" customHeight="1">
      <c r="B54" s="580"/>
      <c r="C54" s="541"/>
      <c r="D54" s="541"/>
      <c r="E54" s="541"/>
      <c r="F54" s="541"/>
      <c r="G54" s="541"/>
      <c r="H54" s="541"/>
      <c r="I54" s="541"/>
      <c r="J54" s="463"/>
      <c r="K54" s="464"/>
      <c r="L54" s="464"/>
      <c r="M54" s="464"/>
      <c r="N54" s="465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2"/>
      <c r="AA54" s="541"/>
      <c r="AB54" s="541"/>
      <c r="AC54" s="541"/>
      <c r="AD54" s="541"/>
      <c r="AE54" s="541"/>
      <c r="AF54" s="541"/>
      <c r="AG54" s="541"/>
      <c r="AH54" s="541"/>
      <c r="AI54" s="541"/>
      <c r="AJ54" s="541"/>
      <c r="AK54" s="541"/>
      <c r="AL54" s="541"/>
      <c r="AM54" s="541"/>
      <c r="AN54" s="541"/>
      <c r="AO54" s="541"/>
      <c r="AP54" s="541"/>
      <c r="AQ54" s="541"/>
      <c r="AR54" s="541"/>
      <c r="AS54" s="541"/>
      <c r="AT54" s="541"/>
      <c r="AU54" s="541"/>
      <c r="AV54" s="541"/>
      <c r="AW54" s="541"/>
      <c r="AX54" s="541"/>
      <c r="AY54" s="541"/>
      <c r="AZ54" s="541"/>
      <c r="BA54" s="541"/>
      <c r="BB54" s="542"/>
      <c r="BC54" s="541"/>
      <c r="BD54" s="541"/>
      <c r="BE54" s="541"/>
      <c r="BF54" s="541"/>
      <c r="BG54" s="541"/>
      <c r="BH54" s="541"/>
      <c r="BI54" s="541"/>
      <c r="BJ54" s="541"/>
      <c r="BK54" s="541"/>
      <c r="BL54" s="541"/>
      <c r="BM54" s="541"/>
      <c r="BN54" s="541"/>
      <c r="BO54" s="541"/>
      <c r="BP54" s="541"/>
      <c r="BQ54" s="541"/>
      <c r="BR54" s="541"/>
      <c r="BS54" s="541"/>
      <c r="BT54" s="541"/>
      <c r="BU54" s="541"/>
      <c r="BV54" s="541"/>
      <c r="BW54" s="541"/>
      <c r="BX54" s="542"/>
      <c r="BY54" s="541"/>
      <c r="BZ54" s="541"/>
      <c r="CA54" s="541"/>
      <c r="CB54" s="541"/>
      <c r="CC54" s="541"/>
      <c r="CD54" s="541"/>
      <c r="CE54" s="541"/>
      <c r="CF54" s="541"/>
      <c r="CG54" s="541"/>
      <c r="CH54" s="541"/>
      <c r="CI54" s="541"/>
      <c r="CJ54" s="541"/>
      <c r="CK54" s="541"/>
      <c r="CL54" s="541"/>
      <c r="CM54" s="541"/>
      <c r="CN54" s="541"/>
      <c r="CO54" s="541"/>
      <c r="CP54" s="541"/>
      <c r="CQ54" s="541"/>
      <c r="CR54" s="541"/>
      <c r="CS54" s="541"/>
      <c r="CT54" s="541"/>
      <c r="CU54" s="541"/>
      <c r="CV54" s="541"/>
      <c r="CW54" s="542"/>
      <c r="CY54" s="16" t="s">
        <v>40</v>
      </c>
    </row>
    <row r="55" spans="2:109" ht="20.100000000000001" customHeight="1" thickBot="1">
      <c r="B55" s="579"/>
      <c r="C55" s="453"/>
      <c r="D55" s="453"/>
      <c r="E55" s="453"/>
      <c r="F55" s="453"/>
      <c r="G55" s="453"/>
      <c r="H55" s="453"/>
      <c r="I55" s="453"/>
      <c r="J55" s="453"/>
      <c r="K55" s="453"/>
      <c r="L55" s="453"/>
      <c r="M55" s="453"/>
      <c r="N55" s="453"/>
      <c r="O55" s="453"/>
      <c r="P55" s="453"/>
      <c r="Q55" s="453"/>
      <c r="R55" s="453"/>
      <c r="S55" s="453"/>
      <c r="T55" s="453"/>
      <c r="U55" s="453"/>
      <c r="V55" s="453"/>
      <c r="W55" s="453"/>
      <c r="X55" s="453"/>
      <c r="Y55" s="453"/>
      <c r="Z55" s="454"/>
      <c r="AA55" s="453"/>
      <c r="AB55" s="453"/>
      <c r="AC55" s="453"/>
      <c r="AD55" s="453"/>
      <c r="AE55" s="453"/>
      <c r="AF55" s="453"/>
      <c r="AG55" s="453"/>
      <c r="AH55" s="453"/>
      <c r="AI55" s="453"/>
      <c r="AJ55" s="453"/>
      <c r="AK55" s="453"/>
      <c r="AL55" s="453"/>
      <c r="AM55" s="453"/>
      <c r="AN55" s="453"/>
      <c r="AO55" s="453"/>
      <c r="AP55" s="453"/>
      <c r="AQ55" s="453"/>
      <c r="AR55" s="453"/>
      <c r="AS55" s="453"/>
      <c r="AT55" s="453"/>
      <c r="AU55" s="453"/>
      <c r="AV55" s="453"/>
      <c r="AW55" s="453"/>
      <c r="AX55" s="453"/>
      <c r="AY55" s="453"/>
      <c r="AZ55" s="453"/>
      <c r="BA55" s="453"/>
      <c r="BB55" s="454"/>
      <c r="BC55" s="453"/>
      <c r="BD55" s="453"/>
      <c r="BE55" s="453"/>
      <c r="BF55" s="453"/>
      <c r="BG55" s="453"/>
      <c r="BH55" s="453"/>
      <c r="BI55" s="453"/>
      <c r="BJ55" s="453"/>
      <c r="BK55" s="453"/>
      <c r="BL55" s="453"/>
      <c r="BM55" s="453"/>
      <c r="BN55" s="453"/>
      <c r="BO55" s="453"/>
      <c r="BP55" s="453"/>
      <c r="BQ55" s="453"/>
      <c r="BR55" s="453"/>
      <c r="BS55" s="453"/>
      <c r="BT55" s="453"/>
      <c r="BU55" s="453"/>
      <c r="BV55" s="453"/>
      <c r="BW55" s="453"/>
      <c r="BX55" s="454"/>
      <c r="BY55" s="453"/>
      <c r="BZ55" s="453"/>
      <c r="CA55" s="453"/>
      <c r="CB55" s="453"/>
      <c r="CC55" s="453"/>
      <c r="CD55" s="453"/>
      <c r="CE55" s="453"/>
      <c r="CF55" s="453"/>
      <c r="CG55" s="453"/>
      <c r="CH55" s="453"/>
      <c r="CI55" s="453"/>
      <c r="CJ55" s="453"/>
      <c r="CK55" s="453"/>
      <c r="CL55" s="453"/>
      <c r="CM55" s="453"/>
      <c r="CN55" s="453"/>
      <c r="CO55" s="453"/>
      <c r="CP55" s="453"/>
      <c r="CQ55" s="453"/>
      <c r="CR55" s="453"/>
      <c r="CS55" s="453"/>
      <c r="CT55" s="453"/>
      <c r="CU55" s="453"/>
      <c r="CV55" s="453"/>
      <c r="CW55" s="454"/>
      <c r="CY55" s="17" t="s">
        <v>23</v>
      </c>
    </row>
    <row r="56" spans="2:109" ht="20.100000000000001" customHeight="1" thickTop="1" thickBot="1">
      <c r="B56" s="579"/>
      <c r="C56" s="453"/>
      <c r="D56" s="453"/>
      <c r="E56" s="453"/>
      <c r="F56" s="453"/>
      <c r="G56" s="453"/>
      <c r="H56" s="453"/>
      <c r="I56" s="453"/>
      <c r="J56" s="453"/>
      <c r="K56" s="453"/>
      <c r="L56" s="453"/>
      <c r="M56" s="453"/>
      <c r="N56" s="453"/>
      <c r="O56" s="453"/>
      <c r="P56" s="453"/>
      <c r="Q56" s="453"/>
      <c r="R56" s="453"/>
      <c r="S56" s="453"/>
      <c r="T56" s="453"/>
      <c r="U56" s="453"/>
      <c r="V56" s="453"/>
      <c r="W56" s="453"/>
      <c r="X56" s="453"/>
      <c r="Y56" s="453"/>
      <c r="Z56" s="454"/>
      <c r="AA56" s="453"/>
      <c r="AB56" s="453"/>
      <c r="AC56" s="453"/>
      <c r="AD56" s="453"/>
      <c r="AE56" s="453"/>
      <c r="AF56" s="453"/>
      <c r="AG56" s="453"/>
      <c r="AH56" s="453"/>
      <c r="AI56" s="453"/>
      <c r="AJ56" s="453"/>
      <c r="AK56" s="453"/>
      <c r="AL56" s="453"/>
      <c r="AM56" s="453"/>
      <c r="AN56" s="453"/>
      <c r="AO56" s="453"/>
      <c r="AP56" s="453"/>
      <c r="AQ56" s="453"/>
      <c r="AR56" s="453"/>
      <c r="AS56" s="453"/>
      <c r="AT56" s="453"/>
      <c r="AU56" s="453"/>
      <c r="AV56" s="453"/>
      <c r="AW56" s="453"/>
      <c r="AX56" s="453"/>
      <c r="AY56" s="453"/>
      <c r="AZ56" s="453"/>
      <c r="BA56" s="453"/>
      <c r="BB56" s="454"/>
      <c r="BC56" s="453"/>
      <c r="BD56" s="453"/>
      <c r="BE56" s="453"/>
      <c r="BF56" s="453"/>
      <c r="BG56" s="453"/>
      <c r="BH56" s="453"/>
      <c r="BI56" s="453"/>
      <c r="BJ56" s="453"/>
      <c r="BK56" s="453"/>
      <c r="BL56" s="453"/>
      <c r="BM56" s="453"/>
      <c r="BN56" s="453"/>
      <c r="BO56" s="453"/>
      <c r="BP56" s="453"/>
      <c r="BQ56" s="453"/>
      <c r="BR56" s="453"/>
      <c r="BS56" s="453"/>
      <c r="BT56" s="453"/>
      <c r="BU56" s="453"/>
      <c r="BV56" s="453"/>
      <c r="BW56" s="453"/>
      <c r="BX56" s="454"/>
      <c r="BY56" s="585"/>
      <c r="BZ56" s="585"/>
      <c r="CA56" s="585"/>
      <c r="CB56" s="585"/>
      <c r="CC56" s="585"/>
      <c r="CD56" s="585"/>
      <c r="CE56" s="585"/>
      <c r="CF56" s="585"/>
      <c r="CG56" s="585"/>
      <c r="CH56" s="585"/>
      <c r="CI56" s="585"/>
      <c r="CJ56" s="585"/>
      <c r="CK56" s="453"/>
      <c r="CL56" s="453"/>
      <c r="CM56" s="453"/>
      <c r="CN56" s="453"/>
      <c r="CO56" s="453"/>
      <c r="CP56" s="453"/>
      <c r="CQ56" s="453"/>
      <c r="CR56" s="453"/>
      <c r="CS56" s="453"/>
      <c r="CT56" s="453"/>
      <c r="CU56" s="453"/>
      <c r="CV56" s="453"/>
      <c r="CW56" s="454"/>
      <c r="CY56" s="64">
        <f>DC56</f>
        <v>481</v>
      </c>
      <c r="CZ56" s="65"/>
      <c r="DA56" s="65"/>
      <c r="DB56" s="66"/>
      <c r="DC56" s="29">
        <f t="array" ref="DC56:DC57">TRANSPOSE(TotalUnitsAndWeightsSum(DECK9))</f>
        <v>481</v>
      </c>
    </row>
    <row r="57" spans="2:109" ht="20.100000000000001" customHeight="1" thickTop="1" thickBot="1">
      <c r="B57" s="579"/>
      <c r="C57" s="453"/>
      <c r="D57" s="453"/>
      <c r="E57" s="453"/>
      <c r="F57" s="453"/>
      <c r="G57" s="453"/>
      <c r="H57" s="591" t="s">
        <v>89</v>
      </c>
      <c r="I57" s="591"/>
      <c r="J57" s="591"/>
      <c r="K57" s="591"/>
      <c r="L57" s="591"/>
      <c r="M57" s="453"/>
      <c r="N57" s="453"/>
      <c r="O57" s="453"/>
      <c r="P57" s="453"/>
      <c r="Q57" s="453"/>
      <c r="R57" s="453"/>
      <c r="S57" s="453"/>
      <c r="T57" s="453"/>
      <c r="U57" s="453"/>
      <c r="V57" s="453"/>
      <c r="W57" s="453"/>
      <c r="X57" s="453"/>
      <c r="Y57" s="453"/>
      <c r="Z57" s="454"/>
      <c r="AA57" s="453"/>
      <c r="AB57" s="453"/>
      <c r="AC57" s="453"/>
      <c r="AD57" s="591" t="s">
        <v>89</v>
      </c>
      <c r="AE57" s="591"/>
      <c r="AF57" s="591"/>
      <c r="AG57" s="591"/>
      <c r="AH57" s="591"/>
      <c r="AI57" s="453"/>
      <c r="AJ57" s="453"/>
      <c r="AK57" s="453"/>
      <c r="AL57" s="487"/>
      <c r="AM57" s="488"/>
      <c r="AN57" s="488"/>
      <c r="AO57" s="488"/>
      <c r="AP57" s="488"/>
      <c r="AQ57" s="488"/>
      <c r="AR57" s="488"/>
      <c r="AS57" s="488"/>
      <c r="AT57" s="488"/>
      <c r="AU57" s="488"/>
      <c r="AV57" s="489"/>
      <c r="AW57" s="453"/>
      <c r="AX57" s="453"/>
      <c r="AY57" s="453"/>
      <c r="AZ57" s="453"/>
      <c r="BA57" s="453"/>
      <c r="BB57" s="454"/>
      <c r="BC57" s="453"/>
      <c r="BD57" s="453"/>
      <c r="BE57" s="453"/>
      <c r="BF57" s="453"/>
      <c r="BG57" s="453"/>
      <c r="BH57" s="453"/>
      <c r="BI57" s="591" t="s">
        <v>89</v>
      </c>
      <c r="BJ57" s="591"/>
      <c r="BK57" s="591"/>
      <c r="BL57" s="591"/>
      <c r="BM57" s="591"/>
      <c r="BN57" s="453"/>
      <c r="BO57" s="453"/>
      <c r="BP57" s="453"/>
      <c r="BQ57" s="453"/>
      <c r="BR57" s="453"/>
      <c r="BS57" s="453"/>
      <c r="BT57" s="453"/>
      <c r="BU57" s="453"/>
      <c r="BV57" s="453"/>
      <c r="BW57" s="453"/>
      <c r="BX57" s="454"/>
      <c r="BY57" s="495"/>
      <c r="BZ57" s="495"/>
      <c r="CA57" s="495"/>
      <c r="CB57" s="495"/>
      <c r="CC57" s="495"/>
      <c r="CD57" s="495"/>
      <c r="CE57" s="495"/>
      <c r="CF57" s="495"/>
      <c r="CG57" s="495"/>
      <c r="CH57" s="495"/>
      <c r="CI57" s="496"/>
      <c r="CJ57" s="585"/>
      <c r="CK57" s="453"/>
      <c r="CL57" s="591" t="s">
        <v>89</v>
      </c>
      <c r="CM57" s="591"/>
      <c r="CN57" s="591"/>
      <c r="CO57" s="591"/>
      <c r="CP57" s="591"/>
      <c r="CQ57" s="453"/>
      <c r="CR57" s="453"/>
      <c r="CS57" s="453"/>
      <c r="CT57" s="453"/>
      <c r="CU57" s="453"/>
      <c r="CV57" s="453"/>
      <c r="CW57" s="454"/>
      <c r="CY57" s="67">
        <f>DC57</f>
        <v>755.80099999999993</v>
      </c>
      <c r="CZ57" s="68"/>
      <c r="DA57" s="68"/>
      <c r="DB57" s="69"/>
      <c r="DC57" s="29">
        <v>755.80099999999993</v>
      </c>
    </row>
    <row r="58" spans="2:109" ht="20.100000000000001" customHeight="1" thickTop="1">
      <c r="B58" s="579"/>
      <c r="C58" s="453"/>
      <c r="D58" s="453"/>
      <c r="E58" s="453"/>
      <c r="F58" s="453"/>
      <c r="G58" s="453"/>
      <c r="H58" s="456">
        <v>120</v>
      </c>
      <c r="I58" s="457"/>
      <c r="J58" s="457"/>
      <c r="K58" s="459">
        <v>188.5</v>
      </c>
      <c r="L58" s="457"/>
      <c r="M58" s="457"/>
      <c r="N58" s="457"/>
      <c r="O58" s="453"/>
      <c r="P58" s="453"/>
      <c r="Q58" s="453"/>
      <c r="R58" s="453"/>
      <c r="S58" s="453"/>
      <c r="T58" s="453"/>
      <c r="U58" s="453"/>
      <c r="V58" s="453"/>
      <c r="W58" s="453"/>
      <c r="X58" s="453"/>
      <c r="Y58" s="453"/>
      <c r="Z58" s="454"/>
      <c r="AA58" s="453"/>
      <c r="AB58" s="453"/>
      <c r="AC58" s="453"/>
      <c r="AD58" s="456">
        <v>138</v>
      </c>
      <c r="AE58" s="457"/>
      <c r="AF58" s="457"/>
      <c r="AG58" s="459">
        <v>216.9</v>
      </c>
      <c r="AH58" s="457"/>
      <c r="AI58" s="457"/>
      <c r="AJ58" s="457"/>
      <c r="AK58" s="453"/>
      <c r="AL58" s="490"/>
      <c r="AM58" s="491"/>
      <c r="AN58" s="491"/>
      <c r="AO58" s="491"/>
      <c r="AP58" s="491"/>
      <c r="AQ58" s="491"/>
      <c r="AR58" s="491"/>
      <c r="AS58" s="491"/>
      <c r="AT58" s="491"/>
      <c r="AU58" s="491"/>
      <c r="AV58" s="492"/>
      <c r="AW58" s="453"/>
      <c r="AX58" s="453"/>
      <c r="AY58" s="453"/>
      <c r="AZ58" s="453"/>
      <c r="BA58" s="453"/>
      <c r="BB58" s="454"/>
      <c r="BC58" s="453"/>
      <c r="BD58" s="453"/>
      <c r="BE58" s="453"/>
      <c r="BF58" s="453"/>
      <c r="BG58" s="453"/>
      <c r="BH58" s="453"/>
      <c r="BI58" s="456">
        <v>118</v>
      </c>
      <c r="BJ58" s="457"/>
      <c r="BK58" s="457"/>
      <c r="BL58" s="459">
        <v>185.4</v>
      </c>
      <c r="BM58" s="457"/>
      <c r="BN58" s="457"/>
      <c r="BO58" s="457"/>
      <c r="BP58" s="453"/>
      <c r="BQ58" s="453"/>
      <c r="BR58" s="453"/>
      <c r="BS58" s="453"/>
      <c r="BT58" s="453"/>
      <c r="BU58" s="453"/>
      <c r="BV58" s="453"/>
      <c r="BW58" s="453"/>
      <c r="BX58" s="454"/>
      <c r="BY58" s="497"/>
      <c r="BZ58" s="497"/>
      <c r="CA58" s="497"/>
      <c r="CB58" s="497"/>
      <c r="CC58" s="497"/>
      <c r="CD58" s="497"/>
      <c r="CE58" s="497"/>
      <c r="CF58" s="497"/>
      <c r="CG58" s="497"/>
      <c r="CH58" s="497"/>
      <c r="CI58" s="498"/>
      <c r="CJ58" s="585"/>
      <c r="CK58" s="453"/>
      <c r="CL58" s="456">
        <v>105</v>
      </c>
      <c r="CM58" s="457"/>
      <c r="CN58" s="457"/>
      <c r="CO58" s="459">
        <v>165.001</v>
      </c>
      <c r="CP58" s="457"/>
      <c r="CQ58" s="457"/>
      <c r="CR58" s="457"/>
      <c r="CS58" s="453"/>
      <c r="CT58" s="453"/>
      <c r="CU58" s="453"/>
      <c r="CV58" s="453"/>
      <c r="CW58" s="454"/>
      <c r="CY58" s="13" t="s">
        <v>24</v>
      </c>
    </row>
    <row r="59" spans="2:109" ht="20.100000000000001" customHeight="1">
      <c r="B59" s="579"/>
      <c r="C59" s="453"/>
      <c r="D59" s="453"/>
      <c r="E59" s="453"/>
      <c r="F59" s="453"/>
      <c r="G59" s="453"/>
      <c r="H59" s="458"/>
      <c r="I59" s="458"/>
      <c r="J59" s="458"/>
      <c r="K59" s="458"/>
      <c r="L59" s="458"/>
      <c r="M59" s="453"/>
      <c r="N59" s="453"/>
      <c r="O59" s="453"/>
      <c r="P59" s="453"/>
      <c r="Q59" s="453"/>
      <c r="R59" s="453"/>
      <c r="S59" s="453"/>
      <c r="T59" s="453"/>
      <c r="U59" s="453"/>
      <c r="V59" s="453"/>
      <c r="W59" s="453"/>
      <c r="X59" s="453"/>
      <c r="Y59" s="453"/>
      <c r="Z59" s="454"/>
      <c r="AA59" s="453"/>
      <c r="AB59" s="453"/>
      <c r="AC59" s="453"/>
      <c r="AD59" s="453"/>
      <c r="AE59" s="453"/>
      <c r="AF59" s="453"/>
      <c r="AG59" s="453"/>
      <c r="AH59" s="453"/>
      <c r="AI59" s="453"/>
      <c r="AJ59" s="453"/>
      <c r="AK59" s="453"/>
      <c r="AL59" s="453"/>
      <c r="AM59" s="453"/>
      <c r="AN59" s="453"/>
      <c r="AO59" s="453"/>
      <c r="AP59" s="453"/>
      <c r="AQ59" s="453"/>
      <c r="AR59" s="453"/>
      <c r="AS59" s="453"/>
      <c r="AT59" s="453"/>
      <c r="AU59" s="453"/>
      <c r="AV59" s="453"/>
      <c r="AW59" s="453"/>
      <c r="AX59" s="453"/>
      <c r="AY59" s="453"/>
      <c r="AZ59" s="453"/>
      <c r="BA59" s="453"/>
      <c r="BB59" s="454"/>
      <c r="BC59" s="453"/>
      <c r="BD59" s="453"/>
      <c r="BE59" s="453"/>
      <c r="BF59" s="453"/>
      <c r="BG59" s="453"/>
      <c r="BH59" s="453"/>
      <c r="BI59" s="453"/>
      <c r="BJ59" s="453"/>
      <c r="BK59" s="453"/>
      <c r="BL59" s="453"/>
      <c r="BM59" s="453"/>
      <c r="BN59" s="453"/>
      <c r="BO59" s="453"/>
      <c r="BP59" s="453"/>
      <c r="BQ59" s="453"/>
      <c r="BR59" s="453"/>
      <c r="BS59" s="453"/>
      <c r="BT59" s="453"/>
      <c r="BU59" s="453"/>
      <c r="BV59" s="453"/>
      <c r="BW59" s="453"/>
      <c r="BX59" s="454"/>
      <c r="BY59" s="453"/>
      <c r="BZ59" s="453"/>
      <c r="CA59" s="453"/>
      <c r="CB59" s="453"/>
      <c r="CC59" s="453"/>
      <c r="CD59" s="453"/>
      <c r="CE59" s="453"/>
      <c r="CF59" s="453"/>
      <c r="CG59" s="453"/>
      <c r="CH59" s="453"/>
      <c r="CI59" s="453"/>
      <c r="CJ59" s="453"/>
      <c r="CK59" s="453"/>
      <c r="CL59" s="453"/>
      <c r="CM59" s="453"/>
      <c r="CN59" s="453"/>
      <c r="CO59" s="453"/>
      <c r="CP59" s="453"/>
      <c r="CQ59" s="453"/>
      <c r="CR59" s="453"/>
      <c r="CS59" s="453"/>
      <c r="CT59" s="453"/>
      <c r="CU59" s="453"/>
      <c r="CV59" s="453"/>
      <c r="CW59" s="454"/>
      <c r="CY59" s="14" t="s">
        <v>25</v>
      </c>
    </row>
    <row r="60" spans="2:109" ht="20.100000000000001" customHeight="1">
      <c r="B60" s="579"/>
      <c r="C60" s="453"/>
      <c r="D60" s="453"/>
      <c r="E60" s="453"/>
      <c r="F60" s="453"/>
      <c r="G60" s="453"/>
      <c r="H60" s="453"/>
      <c r="I60" s="453"/>
      <c r="J60" s="453"/>
      <c r="K60" s="453"/>
      <c r="L60" s="453"/>
      <c r="M60" s="453"/>
      <c r="N60" s="453"/>
      <c r="O60" s="453"/>
      <c r="P60" s="453"/>
      <c r="Q60" s="453"/>
      <c r="R60" s="453"/>
      <c r="S60" s="453"/>
      <c r="T60" s="453"/>
      <c r="U60" s="453"/>
      <c r="V60" s="453"/>
      <c r="W60" s="453"/>
      <c r="X60" s="453"/>
      <c r="Y60" s="453"/>
      <c r="Z60" s="454"/>
      <c r="AA60" s="453"/>
      <c r="AB60" s="453"/>
      <c r="AC60" s="453"/>
      <c r="AD60" s="453"/>
      <c r="AE60" s="453"/>
      <c r="AF60" s="453"/>
      <c r="AG60" s="453"/>
      <c r="AH60" s="453"/>
      <c r="AI60" s="453"/>
      <c r="AJ60" s="453"/>
      <c r="AK60" s="453"/>
      <c r="AL60" s="453"/>
      <c r="AM60" s="453"/>
      <c r="AN60" s="453"/>
      <c r="AO60" s="453"/>
      <c r="AP60" s="453"/>
      <c r="AQ60" s="453"/>
      <c r="AR60" s="453"/>
      <c r="AS60" s="453"/>
      <c r="AT60" s="453"/>
      <c r="AU60" s="453"/>
      <c r="AV60" s="453"/>
      <c r="AW60" s="453"/>
      <c r="AX60" s="453"/>
      <c r="AY60" s="453"/>
      <c r="AZ60" s="453"/>
      <c r="BA60" s="453"/>
      <c r="BB60" s="454"/>
      <c r="BC60" s="453"/>
      <c r="BD60" s="453"/>
      <c r="BE60" s="453"/>
      <c r="BF60" s="453"/>
      <c r="BG60" s="453"/>
      <c r="BH60" s="453"/>
      <c r="BI60" s="453"/>
      <c r="BJ60" s="453"/>
      <c r="BK60" s="453"/>
      <c r="BL60" s="453"/>
      <c r="BM60" s="453"/>
      <c r="BN60" s="453"/>
      <c r="BO60" s="453"/>
      <c r="BP60" s="453"/>
      <c r="BQ60" s="453"/>
      <c r="BR60" s="453"/>
      <c r="BS60" s="453"/>
      <c r="BT60" s="453"/>
      <c r="BU60" s="453"/>
      <c r="BV60" s="453"/>
      <c r="BW60" s="453"/>
      <c r="BX60" s="454"/>
      <c r="BY60" s="453"/>
      <c r="BZ60" s="453"/>
      <c r="CA60" s="453"/>
      <c r="CB60" s="453"/>
      <c r="CC60" s="453"/>
      <c r="CD60" s="453"/>
      <c r="CE60" s="453"/>
      <c r="CF60" s="453"/>
      <c r="CG60" s="453"/>
      <c r="CH60" s="453"/>
      <c r="CI60" s="453"/>
      <c r="CJ60" s="453"/>
      <c r="CK60" s="453"/>
      <c r="CL60" s="453"/>
      <c r="CM60" s="453"/>
      <c r="CN60" s="453"/>
      <c r="CO60" s="453"/>
      <c r="CP60" s="453"/>
      <c r="CQ60" s="453"/>
      <c r="CR60" s="453"/>
      <c r="CS60" s="453"/>
      <c r="CT60" s="453"/>
      <c r="CU60" s="453"/>
      <c r="CV60" s="453"/>
      <c r="CW60" s="454"/>
    </row>
    <row r="61" spans="2:109" ht="20.100000000000001" customHeight="1">
      <c r="B61" s="579"/>
      <c r="C61" s="453"/>
      <c r="D61" s="453"/>
      <c r="E61" s="453"/>
      <c r="F61" s="453"/>
      <c r="G61" s="453"/>
      <c r="H61" s="453"/>
      <c r="I61" s="453"/>
      <c r="J61" s="453"/>
      <c r="K61" s="453"/>
      <c r="L61" s="453"/>
      <c r="M61" s="453"/>
      <c r="N61" s="453"/>
      <c r="O61" s="453"/>
      <c r="P61" s="453"/>
      <c r="Q61" s="453"/>
      <c r="R61" s="453"/>
      <c r="S61" s="453"/>
      <c r="T61" s="453"/>
      <c r="U61" s="453"/>
      <c r="V61" s="453"/>
      <c r="W61" s="453"/>
      <c r="X61" s="453"/>
      <c r="Y61" s="453"/>
      <c r="Z61" s="454"/>
      <c r="AA61" s="453"/>
      <c r="AB61" s="453"/>
      <c r="AC61" s="453"/>
      <c r="AD61" s="453"/>
      <c r="AE61" s="453"/>
      <c r="AF61" s="453"/>
      <c r="AG61" s="453"/>
      <c r="AH61" s="453"/>
      <c r="AI61" s="453"/>
      <c r="AJ61" s="453"/>
      <c r="AK61" s="453"/>
      <c r="AL61" s="453"/>
      <c r="AM61" s="453"/>
      <c r="AN61" s="453"/>
      <c r="AO61" s="453"/>
      <c r="AP61" s="453"/>
      <c r="AQ61" s="453"/>
      <c r="AR61" s="453"/>
      <c r="AS61" s="453"/>
      <c r="AT61" s="453"/>
      <c r="AU61" s="453"/>
      <c r="AV61" s="453"/>
      <c r="AW61" s="453"/>
      <c r="AX61" s="453"/>
      <c r="AY61" s="453"/>
      <c r="AZ61" s="453"/>
      <c r="BA61" s="453"/>
      <c r="BB61" s="454"/>
      <c r="BC61" s="453"/>
      <c r="BD61" s="453"/>
      <c r="BE61" s="453"/>
      <c r="BF61" s="453"/>
      <c r="BG61" s="453"/>
      <c r="BH61" s="453"/>
      <c r="BI61" s="453"/>
      <c r="BJ61" s="453"/>
      <c r="BK61" s="453"/>
      <c r="BL61" s="453"/>
      <c r="BM61" s="453"/>
      <c r="BN61" s="453"/>
      <c r="BO61" s="453"/>
      <c r="BP61" s="453"/>
      <c r="BQ61" s="453"/>
      <c r="BR61" s="453"/>
      <c r="BS61" s="453"/>
      <c r="BT61" s="453"/>
      <c r="BU61" s="453"/>
      <c r="BV61" s="453"/>
      <c r="BW61" s="453"/>
      <c r="BX61" s="453"/>
      <c r="BY61" s="579"/>
      <c r="BZ61" s="453"/>
      <c r="CA61" s="453"/>
      <c r="CB61" s="453"/>
      <c r="CC61" s="453"/>
      <c r="CD61" s="453"/>
      <c r="CE61" s="453"/>
      <c r="CF61" s="453"/>
      <c r="CG61" s="453"/>
      <c r="CH61" s="453"/>
      <c r="CI61" s="453"/>
      <c r="CJ61" s="453"/>
      <c r="CK61" s="453"/>
      <c r="CL61" s="453"/>
      <c r="CM61" s="453"/>
      <c r="CN61" s="453"/>
      <c r="CO61" s="453"/>
      <c r="CP61" s="453"/>
      <c r="CQ61" s="453"/>
      <c r="CR61" s="453"/>
      <c r="CS61" s="453"/>
      <c r="CT61" s="453"/>
      <c r="CU61" s="453"/>
      <c r="CV61" s="453"/>
      <c r="CW61" s="454"/>
    </row>
    <row r="62" spans="2:109" ht="20.100000000000001" customHeight="1" thickBot="1">
      <c r="B62" s="579"/>
      <c r="C62" s="453"/>
      <c r="D62" s="453"/>
      <c r="E62" s="453"/>
      <c r="F62" s="453"/>
      <c r="G62" s="453"/>
      <c r="H62" s="453"/>
      <c r="I62" s="453"/>
      <c r="J62" s="453"/>
      <c r="K62" s="453"/>
      <c r="L62" s="453"/>
      <c r="M62" s="453"/>
      <c r="N62" s="453"/>
      <c r="O62" s="453"/>
      <c r="P62" s="453"/>
      <c r="Q62" s="453"/>
      <c r="R62" s="453"/>
      <c r="S62" s="453"/>
      <c r="T62" s="453"/>
      <c r="U62" s="453"/>
      <c r="V62" s="453"/>
      <c r="W62" s="453"/>
      <c r="X62" s="453"/>
      <c r="Y62" s="453"/>
      <c r="Z62" s="454"/>
      <c r="AA62" s="453"/>
      <c r="AB62" s="453"/>
      <c r="AC62" s="453"/>
      <c r="AD62" s="453"/>
      <c r="AE62" s="453"/>
      <c r="AF62" s="453"/>
      <c r="AG62" s="453"/>
      <c r="AH62" s="453"/>
      <c r="AI62" s="453"/>
      <c r="AJ62" s="453"/>
      <c r="AK62" s="453"/>
      <c r="AL62" s="453"/>
      <c r="AM62" s="453"/>
      <c r="AN62" s="453"/>
      <c r="AO62" s="453"/>
      <c r="AP62" s="453"/>
      <c r="AQ62" s="453"/>
      <c r="AR62" s="453"/>
      <c r="AS62" s="453"/>
      <c r="AT62" s="453"/>
      <c r="AU62" s="453"/>
      <c r="AV62" s="453"/>
      <c r="AW62" s="453"/>
      <c r="AX62" s="453"/>
      <c r="AY62" s="453"/>
      <c r="AZ62" s="453"/>
      <c r="BA62" s="453"/>
      <c r="BB62" s="454"/>
      <c r="BC62" s="453"/>
      <c r="BD62" s="453"/>
      <c r="BE62" s="453"/>
      <c r="BF62" s="453"/>
      <c r="BG62" s="453"/>
      <c r="BH62" s="453"/>
      <c r="BI62" s="453"/>
      <c r="BJ62" s="453"/>
      <c r="BK62" s="453"/>
      <c r="BL62" s="453"/>
      <c r="BM62" s="453"/>
      <c r="BN62" s="453"/>
      <c r="BO62" s="453"/>
      <c r="BP62" s="453"/>
      <c r="BQ62" s="453"/>
      <c r="BR62" s="453"/>
      <c r="BS62" s="453"/>
      <c r="BT62" s="453"/>
      <c r="BU62" s="453"/>
      <c r="BV62" s="453"/>
      <c r="BW62" s="453"/>
      <c r="BX62" s="453"/>
      <c r="BY62" s="579"/>
      <c r="BZ62" s="453"/>
      <c r="CA62" s="453"/>
      <c r="CB62" s="453"/>
      <c r="CC62" s="453"/>
      <c r="CD62" s="453"/>
      <c r="CE62" s="453"/>
      <c r="CF62" s="453"/>
      <c r="CG62" s="453"/>
      <c r="CH62" s="453"/>
      <c r="CI62" s="453"/>
      <c r="CJ62" s="453"/>
      <c r="CK62" s="453"/>
      <c r="CL62" s="453"/>
      <c r="CM62" s="453"/>
      <c r="CN62" s="453"/>
      <c r="CO62" s="453"/>
      <c r="CP62" s="453"/>
      <c r="CQ62" s="453"/>
      <c r="CR62" s="453"/>
      <c r="CS62" s="453"/>
      <c r="CT62" s="453"/>
      <c r="CU62" s="453"/>
      <c r="CV62" s="453"/>
      <c r="CW62" s="454"/>
      <c r="CY62" s="23"/>
    </row>
    <row r="63" spans="2:109" ht="20.100000000000001" customHeight="1">
      <c r="B63" s="593"/>
      <c r="C63" s="594"/>
      <c r="D63" s="594"/>
      <c r="E63" s="594"/>
      <c r="F63" s="594"/>
      <c r="G63" s="594"/>
      <c r="H63" s="594"/>
      <c r="I63" s="594"/>
      <c r="J63" s="463"/>
      <c r="K63" s="464"/>
      <c r="L63" s="464"/>
      <c r="M63" s="464"/>
      <c r="N63" s="465"/>
      <c r="O63" s="594"/>
      <c r="P63" s="594"/>
      <c r="Q63" s="594"/>
      <c r="R63" s="594"/>
      <c r="S63" s="594"/>
      <c r="T63" s="594"/>
      <c r="U63" s="594"/>
      <c r="V63" s="594"/>
      <c r="W63" s="594"/>
      <c r="X63" s="594"/>
      <c r="Y63" s="594"/>
      <c r="Z63" s="595"/>
      <c r="AA63" s="462"/>
      <c r="AB63" s="462"/>
      <c r="AC63" s="462"/>
      <c r="AD63" s="462"/>
      <c r="AE63" s="462"/>
      <c r="AF63" s="462"/>
      <c r="AG63" s="602" t="s">
        <v>93</v>
      </c>
      <c r="AH63" s="462"/>
      <c r="AI63" s="462"/>
      <c r="AJ63" s="462"/>
      <c r="AK63" s="462"/>
      <c r="AL63" s="462"/>
      <c r="AM63" s="462"/>
      <c r="AN63" s="462"/>
      <c r="AO63" s="462"/>
      <c r="AP63" s="462"/>
      <c r="AQ63" s="462"/>
      <c r="AR63" s="462"/>
      <c r="AS63" s="462"/>
      <c r="AT63" s="462"/>
      <c r="AU63" s="462"/>
      <c r="AV63" s="462"/>
      <c r="AW63" s="569"/>
      <c r="AX63" s="569"/>
      <c r="AY63" s="569"/>
      <c r="AZ63" s="569"/>
      <c r="BA63" s="569"/>
      <c r="BB63" s="600"/>
      <c r="BC63" s="614"/>
      <c r="BD63" s="614"/>
      <c r="BE63" s="614"/>
      <c r="BF63" s="614"/>
      <c r="BG63" s="614"/>
      <c r="BH63" s="614"/>
      <c r="BI63" s="614"/>
      <c r="BJ63" s="614"/>
      <c r="BK63" s="614"/>
      <c r="BL63" s="614"/>
      <c r="BM63" s="614"/>
      <c r="BN63" s="614"/>
      <c r="BO63" s="614"/>
      <c r="BP63" s="614"/>
      <c r="BQ63" s="614"/>
      <c r="BR63" s="614"/>
      <c r="BS63" s="614"/>
      <c r="BT63" s="483"/>
      <c r="BU63" s="483"/>
      <c r="BV63" s="483"/>
      <c r="BW63" s="483"/>
      <c r="BX63" s="493"/>
      <c r="BY63" s="614"/>
      <c r="BZ63" s="614"/>
      <c r="CA63" s="614"/>
      <c r="CB63" s="614"/>
      <c r="CC63" s="614"/>
      <c r="CD63" s="614"/>
      <c r="CE63" s="614"/>
      <c r="CF63" s="614"/>
      <c r="CG63" s="614"/>
      <c r="CH63" s="614"/>
      <c r="CI63" s="614"/>
      <c r="CJ63" s="614"/>
      <c r="CK63" s="614"/>
      <c r="CL63" s="614"/>
      <c r="CM63" s="621"/>
      <c r="CN63" s="621"/>
      <c r="CO63" s="621"/>
      <c r="CP63" s="621"/>
      <c r="CQ63" s="621"/>
      <c r="CR63" s="621"/>
      <c r="CS63" s="621"/>
      <c r="CT63" s="621"/>
      <c r="CU63" s="621"/>
      <c r="CV63" s="621"/>
      <c r="CW63" s="622"/>
      <c r="CY63" s="220" t="s">
        <v>41</v>
      </c>
      <c r="CZ63" s="221"/>
      <c r="DA63" s="221"/>
      <c r="DB63" s="221"/>
      <c r="DC63" s="216" t="s">
        <v>42</v>
      </c>
      <c r="DD63" s="216"/>
      <c r="DE63" s="217"/>
    </row>
    <row r="64" spans="2:109" ht="20.100000000000001" customHeight="1">
      <c r="B64" s="576"/>
      <c r="C64" s="577"/>
      <c r="D64" s="577"/>
      <c r="E64" s="577"/>
      <c r="F64" s="577"/>
      <c r="G64" s="577"/>
      <c r="H64" s="577"/>
      <c r="I64" s="577"/>
      <c r="J64" s="577"/>
      <c r="K64" s="577"/>
      <c r="L64" s="577"/>
      <c r="M64" s="577"/>
      <c r="N64" s="577"/>
      <c r="O64" s="577"/>
      <c r="P64" s="577"/>
      <c r="Q64" s="577"/>
      <c r="R64" s="577"/>
      <c r="S64" s="577"/>
      <c r="T64" s="577"/>
      <c r="U64" s="577"/>
      <c r="V64" s="577"/>
      <c r="W64" s="577"/>
      <c r="X64" s="577"/>
      <c r="Y64" s="577"/>
      <c r="Z64" s="578"/>
      <c r="AA64" s="469"/>
      <c r="AB64" s="469"/>
      <c r="AC64" s="469"/>
      <c r="AD64" s="469"/>
      <c r="AE64" s="469"/>
      <c r="AF64" s="469"/>
      <c r="AG64" s="539">
        <v>30</v>
      </c>
      <c r="AH64" s="460"/>
      <c r="AI64" s="460"/>
      <c r="AJ64" s="540">
        <v>46.7</v>
      </c>
      <c r="AK64" s="460"/>
      <c r="AL64" s="460"/>
      <c r="AM64" s="460"/>
      <c r="AN64" s="469"/>
      <c r="AO64" s="469"/>
      <c r="AP64" s="469"/>
      <c r="AQ64" s="469"/>
      <c r="AR64" s="469"/>
      <c r="AS64" s="469"/>
      <c r="AT64" s="469"/>
      <c r="AU64" s="469"/>
      <c r="AV64" s="469"/>
      <c r="AW64" s="570"/>
      <c r="AX64" s="570"/>
      <c r="AY64" s="570"/>
      <c r="AZ64" s="570"/>
      <c r="BA64" s="570"/>
      <c r="BB64" s="583"/>
      <c r="BC64" s="615"/>
      <c r="BD64" s="615"/>
      <c r="BE64" s="615"/>
      <c r="BF64" s="615"/>
      <c r="BG64" s="615"/>
      <c r="BH64" s="615"/>
      <c r="BI64" s="615"/>
      <c r="BJ64" s="615"/>
      <c r="BK64" s="615"/>
      <c r="BL64" s="615"/>
      <c r="BM64" s="615"/>
      <c r="BN64" s="615"/>
      <c r="BO64" s="615"/>
      <c r="BP64" s="615"/>
      <c r="BQ64" s="615"/>
      <c r="BR64" s="615"/>
      <c r="BS64" s="615"/>
      <c r="BT64" s="485"/>
      <c r="BU64" s="485"/>
      <c r="BV64" s="485"/>
      <c r="BW64" s="485"/>
      <c r="BX64" s="494"/>
      <c r="BY64" s="615"/>
      <c r="BZ64" s="615"/>
      <c r="CA64" s="615"/>
      <c r="CB64" s="615"/>
      <c r="CC64" s="615"/>
      <c r="CD64" s="615"/>
      <c r="CE64" s="615"/>
      <c r="CF64" s="615"/>
      <c r="CG64" s="615"/>
      <c r="CH64" s="615"/>
      <c r="CI64" s="615"/>
      <c r="CJ64" s="615"/>
      <c r="CK64" s="615"/>
      <c r="CL64" s="615"/>
      <c r="CM64" s="623"/>
      <c r="CN64" s="625" t="s">
        <v>96</v>
      </c>
      <c r="CO64" s="623"/>
      <c r="CP64" s="623"/>
      <c r="CQ64" s="623"/>
      <c r="CR64" s="623"/>
      <c r="CS64" s="623"/>
      <c r="CT64" s="623"/>
      <c r="CU64" s="623"/>
      <c r="CV64" s="623"/>
      <c r="CW64" s="624"/>
      <c r="CY64" s="18" t="s">
        <v>5</v>
      </c>
    </row>
    <row r="65" spans="2:107" ht="20.100000000000001" customHeight="1">
      <c r="B65" s="576"/>
      <c r="C65" s="577"/>
      <c r="D65" s="577"/>
      <c r="E65" s="577"/>
      <c r="F65" s="577"/>
      <c r="G65" s="577"/>
      <c r="H65" s="577"/>
      <c r="I65" s="577"/>
      <c r="J65" s="577"/>
      <c r="K65" s="577"/>
      <c r="L65" s="577"/>
      <c r="M65" s="577"/>
      <c r="N65" s="577"/>
      <c r="O65" s="577"/>
      <c r="P65" s="577"/>
      <c r="Q65" s="577"/>
      <c r="R65" s="577"/>
      <c r="S65" s="577"/>
      <c r="T65" s="577"/>
      <c r="U65" s="577"/>
      <c r="V65" s="577"/>
      <c r="W65" s="577"/>
      <c r="X65" s="577"/>
      <c r="Y65" s="577"/>
      <c r="Z65" s="578"/>
      <c r="AA65" s="577"/>
      <c r="AB65" s="577"/>
      <c r="AC65" s="469"/>
      <c r="AD65" s="469"/>
      <c r="AE65" s="469"/>
      <c r="AF65" s="581"/>
      <c r="AG65" s="581"/>
      <c r="AH65" s="581"/>
      <c r="AI65" s="581"/>
      <c r="AJ65" s="581"/>
      <c r="AK65" s="581"/>
      <c r="AL65" s="581"/>
      <c r="AM65" s="581"/>
      <c r="AN65" s="581"/>
      <c r="AO65" s="581"/>
      <c r="AP65" s="581"/>
      <c r="AQ65" s="581"/>
      <c r="AR65" s="581"/>
      <c r="AS65" s="581"/>
      <c r="AT65" s="581"/>
      <c r="AU65" s="581"/>
      <c r="AV65" s="581"/>
      <c r="AW65" s="485"/>
      <c r="AX65" s="485"/>
      <c r="AY65" s="485"/>
      <c r="AZ65" s="485"/>
      <c r="BA65" s="485"/>
      <c r="BB65" s="494"/>
      <c r="BC65" s="615"/>
      <c r="BD65" s="615"/>
      <c r="BE65" s="615"/>
      <c r="BF65" s="615"/>
      <c r="BG65" s="615"/>
      <c r="BH65" s="615"/>
      <c r="BI65" s="616"/>
      <c r="BJ65" s="616"/>
      <c r="BK65" s="616"/>
      <c r="BL65" s="616"/>
      <c r="BM65" s="616"/>
      <c r="BN65" s="616"/>
      <c r="BO65" s="616"/>
      <c r="BP65" s="616"/>
      <c r="BQ65" s="616"/>
      <c r="BR65" s="616"/>
      <c r="BS65" s="616"/>
      <c r="BT65" s="485"/>
      <c r="BU65" s="485"/>
      <c r="BV65" s="485"/>
      <c r="BW65" s="485"/>
      <c r="BX65" s="494"/>
      <c r="BY65" s="616"/>
      <c r="BZ65" s="616"/>
      <c r="CA65" s="616"/>
      <c r="CB65" s="616"/>
      <c r="CC65" s="616"/>
      <c r="CD65" s="616"/>
      <c r="CE65" s="616"/>
      <c r="CF65" s="616"/>
      <c r="CG65" s="616"/>
      <c r="CH65" s="616"/>
      <c r="CI65" s="616"/>
      <c r="CJ65" s="616"/>
      <c r="CK65" s="615"/>
      <c r="CL65" s="615"/>
      <c r="CM65" s="623"/>
      <c r="CN65" s="627">
        <v>50</v>
      </c>
      <c r="CO65" s="626"/>
      <c r="CP65" s="626"/>
      <c r="CQ65" s="628">
        <v>81.2</v>
      </c>
      <c r="CR65" s="626"/>
      <c r="CS65" s="626"/>
      <c r="CT65" s="626"/>
      <c r="CU65" s="623"/>
      <c r="CV65" s="623"/>
      <c r="CW65" s="624"/>
      <c r="CY65" s="19" t="s">
        <v>4</v>
      </c>
    </row>
    <row r="66" spans="2:107" ht="20.100000000000001" customHeight="1" thickBot="1">
      <c r="B66" s="576"/>
      <c r="C66" s="577"/>
      <c r="D66" s="577"/>
      <c r="E66" s="577"/>
      <c r="F66" s="577"/>
      <c r="G66" s="577"/>
      <c r="H66" s="577"/>
      <c r="I66" s="577"/>
      <c r="J66" s="577"/>
      <c r="K66" s="577"/>
      <c r="L66" s="577"/>
      <c r="M66" s="577"/>
      <c r="N66" s="577"/>
      <c r="O66" s="577"/>
      <c r="P66" s="577"/>
      <c r="Q66" s="577"/>
      <c r="R66" s="577"/>
      <c r="S66" s="577"/>
      <c r="T66" s="577"/>
      <c r="U66" s="577"/>
      <c r="V66" s="577"/>
      <c r="W66" s="577"/>
      <c r="X66" s="577"/>
      <c r="Y66" s="577"/>
      <c r="Z66" s="578"/>
      <c r="AA66" s="577"/>
      <c r="AB66" s="577"/>
      <c r="AC66" s="469"/>
      <c r="AD66" s="469"/>
      <c r="AE66" s="469"/>
      <c r="AF66" s="609" t="s">
        <v>94</v>
      </c>
      <c r="AG66" s="603"/>
      <c r="AH66" s="603"/>
      <c r="AI66" s="603"/>
      <c r="AJ66" s="603"/>
      <c r="AK66" s="603"/>
      <c r="AL66" s="603"/>
      <c r="AM66" s="604"/>
      <c r="AN66" s="499"/>
      <c r="AO66" s="499"/>
      <c r="AP66" s="499"/>
      <c r="AQ66" s="499"/>
      <c r="AR66" s="499"/>
      <c r="AS66" s="499"/>
      <c r="AT66" s="499"/>
      <c r="AU66" s="499"/>
      <c r="AV66" s="500"/>
      <c r="AW66" s="485"/>
      <c r="AX66" s="485"/>
      <c r="AY66" s="485"/>
      <c r="AZ66" s="485"/>
      <c r="BA66" s="485"/>
      <c r="BB66" s="494"/>
      <c r="BC66" s="615"/>
      <c r="BD66" s="615"/>
      <c r="BE66" s="615"/>
      <c r="BF66" s="615"/>
      <c r="BG66" s="615"/>
      <c r="BH66" s="472"/>
      <c r="BI66" s="473"/>
      <c r="BJ66" s="473"/>
      <c r="BK66" s="473"/>
      <c r="BL66" s="473"/>
      <c r="BM66" s="473"/>
      <c r="BN66" s="473"/>
      <c r="BO66" s="473"/>
      <c r="BP66" s="473"/>
      <c r="BQ66" s="495"/>
      <c r="BR66" s="495"/>
      <c r="BS66" s="496"/>
      <c r="BT66" s="485"/>
      <c r="BU66" s="485"/>
      <c r="BV66" s="485"/>
      <c r="BW66" s="485"/>
      <c r="BX66" s="494"/>
      <c r="BY66" s="501"/>
      <c r="BZ66" s="488"/>
      <c r="CA66" s="488"/>
      <c r="CB66" s="488"/>
      <c r="CC66" s="488"/>
      <c r="CD66" s="488"/>
      <c r="CE66" s="488"/>
      <c r="CF66" s="488"/>
      <c r="CG66" s="488"/>
      <c r="CH66" s="488"/>
      <c r="CI66" s="488"/>
      <c r="CJ66" s="489"/>
      <c r="CK66" s="615"/>
      <c r="CL66" s="615"/>
      <c r="CM66" s="623"/>
      <c r="CN66" s="623"/>
      <c r="CO66" s="623"/>
      <c r="CP66" s="623"/>
      <c r="CQ66" s="623"/>
      <c r="CR66" s="623"/>
      <c r="CS66" s="623"/>
      <c r="CT66" s="623"/>
      <c r="CU66" s="623"/>
      <c r="CV66" s="623"/>
      <c r="CW66" s="624"/>
      <c r="CY66" s="19" t="s">
        <v>23</v>
      </c>
    </row>
    <row r="67" spans="2:107" ht="20.100000000000001" customHeight="1" thickTop="1" thickBot="1">
      <c r="B67" s="576"/>
      <c r="C67" s="577"/>
      <c r="D67" s="577"/>
      <c r="E67" s="577"/>
      <c r="F67" s="577"/>
      <c r="G67" s="577"/>
      <c r="H67" s="577"/>
      <c r="I67" s="596" t="s">
        <v>91</v>
      </c>
      <c r="J67" s="577"/>
      <c r="K67" s="577"/>
      <c r="L67" s="577"/>
      <c r="M67" s="577"/>
      <c r="N67" s="577"/>
      <c r="O67" s="577"/>
      <c r="P67" s="577"/>
      <c r="Q67" s="577"/>
      <c r="R67" s="577"/>
      <c r="S67" s="577"/>
      <c r="T67" s="577"/>
      <c r="U67" s="577"/>
      <c r="V67" s="577"/>
      <c r="W67" s="577"/>
      <c r="X67" s="577"/>
      <c r="Y67" s="577"/>
      <c r="Z67" s="578"/>
      <c r="AA67" s="577"/>
      <c r="AB67" s="577"/>
      <c r="AC67" s="469"/>
      <c r="AD67" s="469"/>
      <c r="AE67" s="469"/>
      <c r="AF67" s="612">
        <v>15</v>
      </c>
      <c r="AG67" s="611"/>
      <c r="AH67" s="611"/>
      <c r="AI67" s="613">
        <v>29.8</v>
      </c>
      <c r="AJ67" s="610"/>
      <c r="AK67" s="610"/>
      <c r="AL67" s="610"/>
      <c r="AM67" s="605"/>
      <c r="AN67" s="606"/>
      <c r="AO67" s="607"/>
      <c r="AP67" s="607"/>
      <c r="AQ67" s="607"/>
      <c r="AR67" s="607"/>
      <c r="AS67" s="607"/>
      <c r="AT67" s="607"/>
      <c r="AU67" s="607"/>
      <c r="AV67" s="608"/>
      <c r="AW67" s="485"/>
      <c r="AX67" s="485"/>
      <c r="AY67" s="485"/>
      <c r="AZ67" s="485"/>
      <c r="BA67" s="485"/>
      <c r="BB67" s="494"/>
      <c r="BC67" s="615"/>
      <c r="BD67" s="615"/>
      <c r="BE67" s="615"/>
      <c r="BF67" s="615"/>
      <c r="BG67" s="615"/>
      <c r="BH67" s="475"/>
      <c r="BI67" s="476"/>
      <c r="BJ67" s="476"/>
      <c r="BK67" s="476"/>
      <c r="BL67" s="476"/>
      <c r="BM67" s="476"/>
      <c r="BN67" s="476"/>
      <c r="BO67" s="476"/>
      <c r="BP67" s="476"/>
      <c r="BQ67" s="497"/>
      <c r="BR67" s="497"/>
      <c r="BS67" s="498"/>
      <c r="BT67" s="485"/>
      <c r="BU67" s="485"/>
      <c r="BV67" s="485"/>
      <c r="BW67" s="485"/>
      <c r="BX67" s="494"/>
      <c r="BY67" s="504"/>
      <c r="BZ67" s="491"/>
      <c r="CA67" s="491"/>
      <c r="CB67" s="491"/>
      <c r="CC67" s="491"/>
      <c r="CD67" s="491"/>
      <c r="CE67" s="491"/>
      <c r="CF67" s="491"/>
      <c r="CG67" s="491"/>
      <c r="CH67" s="491"/>
      <c r="CI67" s="491"/>
      <c r="CJ67" s="492"/>
      <c r="CK67" s="615"/>
      <c r="CL67" s="615"/>
      <c r="CM67" s="623"/>
      <c r="CN67" s="623"/>
      <c r="CO67" s="623"/>
      <c r="CP67" s="623"/>
      <c r="CQ67" s="623"/>
      <c r="CR67" s="623"/>
      <c r="CS67" s="623"/>
      <c r="CT67" s="623"/>
      <c r="CU67" s="623"/>
      <c r="CV67" s="623"/>
      <c r="CW67" s="624"/>
      <c r="CY67" s="64">
        <f>DC67</f>
        <v>411</v>
      </c>
      <c r="CZ67" s="65"/>
      <c r="DA67" s="65"/>
      <c r="DB67" s="66"/>
      <c r="DC67" s="29">
        <f t="array" ref="DC67:DC68">TRANSPOSE(TotalUnitsAndWeightsSum(DECK8))</f>
        <v>411</v>
      </c>
    </row>
    <row r="68" spans="2:107" ht="20.100000000000001" customHeight="1" thickTop="1" thickBot="1">
      <c r="B68" s="576"/>
      <c r="C68" s="577"/>
      <c r="D68" s="577"/>
      <c r="E68" s="577"/>
      <c r="F68" s="577"/>
      <c r="G68" s="577"/>
      <c r="H68" s="577"/>
      <c r="I68" s="598">
        <f>SUM(16,37,60)</f>
        <v>113</v>
      </c>
      <c r="J68" s="597"/>
      <c r="K68" s="597"/>
      <c r="L68" s="599">
        <f>SUM(21.3,60.3,89.5)</f>
        <v>171.1</v>
      </c>
      <c r="M68" s="597"/>
      <c r="N68" s="597"/>
      <c r="O68" s="597"/>
      <c r="P68" s="577"/>
      <c r="Q68" s="577"/>
      <c r="R68" s="577"/>
      <c r="S68" s="577"/>
      <c r="T68" s="577"/>
      <c r="U68" s="577"/>
      <c r="V68" s="577"/>
      <c r="W68" s="577"/>
      <c r="X68" s="570"/>
      <c r="Y68" s="570"/>
      <c r="Z68" s="583"/>
      <c r="AA68" s="570"/>
      <c r="AB68" s="570"/>
      <c r="AC68" s="570"/>
      <c r="AD68" s="570"/>
      <c r="AE68" s="570"/>
      <c r="AF68" s="584"/>
      <c r="AG68" s="584"/>
      <c r="AH68" s="584"/>
      <c r="AI68" s="584"/>
      <c r="AJ68" s="584"/>
      <c r="AK68" s="584"/>
      <c r="AL68" s="584"/>
      <c r="AM68" s="584"/>
      <c r="AN68" s="584"/>
      <c r="AO68" s="584"/>
      <c r="AP68" s="584"/>
      <c r="AQ68" s="584"/>
      <c r="AR68" s="584"/>
      <c r="AS68" s="584"/>
      <c r="AT68" s="584"/>
      <c r="AU68" s="584"/>
      <c r="AV68" s="584"/>
      <c r="AW68" s="570"/>
      <c r="AX68" s="570"/>
      <c r="AY68" s="570"/>
      <c r="AZ68" s="570"/>
      <c r="BA68" s="570"/>
      <c r="BB68" s="583"/>
      <c r="BC68" s="615"/>
      <c r="BD68" s="615"/>
      <c r="BE68" s="615"/>
      <c r="BF68" s="615"/>
      <c r="BG68" s="615"/>
      <c r="BH68" s="615"/>
      <c r="BI68" s="615"/>
      <c r="BJ68" s="615"/>
      <c r="BK68" s="615"/>
      <c r="BL68" s="615"/>
      <c r="BM68" s="615"/>
      <c r="BN68" s="615"/>
      <c r="BO68" s="615"/>
      <c r="BP68" s="615"/>
      <c r="BQ68" s="615"/>
      <c r="BR68" s="615"/>
      <c r="BS68" s="615"/>
      <c r="BT68" s="485"/>
      <c r="BU68" s="485"/>
      <c r="BV68" s="485"/>
      <c r="BW68" s="485"/>
      <c r="BX68" s="494"/>
      <c r="BY68" s="616"/>
      <c r="BZ68" s="616"/>
      <c r="CA68" s="616"/>
      <c r="CB68" s="616"/>
      <c r="CC68" s="616"/>
      <c r="CD68" s="616"/>
      <c r="CE68" s="616"/>
      <c r="CF68" s="616"/>
      <c r="CG68" s="616"/>
      <c r="CH68" s="616"/>
      <c r="CI68" s="616"/>
      <c r="CJ68" s="616"/>
      <c r="CK68" s="615"/>
      <c r="CL68" s="615"/>
      <c r="CM68" s="615"/>
      <c r="CN68" s="615"/>
      <c r="CO68" s="615"/>
      <c r="CP68" s="615"/>
      <c r="CQ68" s="623"/>
      <c r="CR68" s="623"/>
      <c r="CS68" s="623"/>
      <c r="CT68" s="623"/>
      <c r="CU68" s="623"/>
      <c r="CV68" s="623"/>
      <c r="CW68" s="624"/>
      <c r="CY68" s="67">
        <f>DC68</f>
        <v>656</v>
      </c>
      <c r="CZ68" s="68"/>
      <c r="DA68" s="68"/>
      <c r="DB68" s="69"/>
      <c r="DC68" s="29">
        <v>656</v>
      </c>
    </row>
    <row r="69" spans="2:107" ht="20.100000000000001" customHeight="1" thickTop="1">
      <c r="B69" s="576"/>
      <c r="C69" s="577"/>
      <c r="D69" s="577"/>
      <c r="E69" s="577"/>
      <c r="F69" s="577"/>
      <c r="G69" s="577"/>
      <c r="H69" s="577"/>
      <c r="I69" s="577"/>
      <c r="J69" s="577"/>
      <c r="K69" s="577"/>
      <c r="L69" s="577"/>
      <c r="M69" s="577"/>
      <c r="N69" s="577"/>
      <c r="O69" s="577"/>
      <c r="P69" s="577"/>
      <c r="Q69" s="577"/>
      <c r="R69" s="577"/>
      <c r="S69" s="577"/>
      <c r="T69" s="577"/>
      <c r="U69" s="577"/>
      <c r="V69" s="577"/>
      <c r="W69" s="577"/>
      <c r="X69" s="570"/>
      <c r="Y69" s="570"/>
      <c r="Z69" s="583"/>
      <c r="AA69" s="570"/>
      <c r="AB69" s="570"/>
      <c r="AC69" s="570"/>
      <c r="AD69" s="570"/>
      <c r="AE69" s="570"/>
      <c r="AF69" s="584"/>
      <c r="AG69" s="584"/>
      <c r="AH69" s="584"/>
      <c r="AI69" s="584"/>
      <c r="AJ69" s="584"/>
      <c r="AK69" s="584"/>
      <c r="AL69" s="584"/>
      <c r="AM69" s="584"/>
      <c r="AN69" s="584"/>
      <c r="AO69" s="601" t="s">
        <v>92</v>
      </c>
      <c r="AP69" s="584"/>
      <c r="AQ69" s="584"/>
      <c r="AR69" s="584"/>
      <c r="AS69" s="584"/>
      <c r="AT69" s="584"/>
      <c r="AU69" s="584"/>
      <c r="AV69" s="584"/>
      <c r="AW69" s="570"/>
      <c r="AX69" s="570"/>
      <c r="AY69" s="570"/>
      <c r="AZ69" s="570"/>
      <c r="BA69" s="570"/>
      <c r="BB69" s="583"/>
      <c r="BC69" s="615"/>
      <c r="BD69" s="615"/>
      <c r="BE69" s="615"/>
      <c r="BF69" s="615"/>
      <c r="BG69" s="617" t="s">
        <v>95</v>
      </c>
      <c r="BH69" s="615"/>
      <c r="BI69" s="615"/>
      <c r="BJ69" s="615"/>
      <c r="BK69" s="615"/>
      <c r="BL69" s="615"/>
      <c r="BM69" s="615"/>
      <c r="BN69" s="615"/>
      <c r="BO69" s="615"/>
      <c r="BP69" s="615"/>
      <c r="BQ69" s="615"/>
      <c r="BR69" s="615"/>
      <c r="BS69" s="615"/>
      <c r="BT69" s="485"/>
      <c r="BU69" s="485"/>
      <c r="BV69" s="485"/>
      <c r="BW69" s="485"/>
      <c r="BX69" s="494"/>
      <c r="BY69" s="616"/>
      <c r="BZ69" s="616"/>
      <c r="CA69" s="616"/>
      <c r="CB69" s="616"/>
      <c r="CC69" s="617" t="s">
        <v>95</v>
      </c>
      <c r="CD69" s="615"/>
      <c r="CE69" s="615"/>
      <c r="CF69" s="615"/>
      <c r="CG69" s="615"/>
      <c r="CH69" s="615"/>
      <c r="CI69" s="615"/>
      <c r="CJ69" s="616"/>
      <c r="CK69" s="615"/>
      <c r="CL69" s="615"/>
      <c r="CM69" s="615"/>
      <c r="CN69" s="615"/>
      <c r="CO69" s="615"/>
      <c r="CP69" s="615"/>
      <c r="CQ69" s="623"/>
      <c r="CR69" s="623"/>
      <c r="CS69" s="623"/>
      <c r="CT69" s="623"/>
      <c r="CU69" s="623"/>
      <c r="CV69" s="623"/>
      <c r="CW69" s="624"/>
      <c r="CY69" s="20" t="s">
        <v>24</v>
      </c>
    </row>
    <row r="70" spans="2:107" ht="20.100000000000001" customHeight="1">
      <c r="B70" s="576"/>
      <c r="C70" s="577"/>
      <c r="D70" s="577"/>
      <c r="E70" s="577"/>
      <c r="F70" s="577"/>
      <c r="G70" s="577"/>
      <c r="H70" s="577"/>
      <c r="I70" s="577"/>
      <c r="J70" s="577"/>
      <c r="K70" s="577"/>
      <c r="L70" s="577"/>
      <c r="M70" s="577"/>
      <c r="N70" s="577"/>
      <c r="O70" s="577"/>
      <c r="P70" s="577"/>
      <c r="Q70" s="577"/>
      <c r="R70" s="577"/>
      <c r="S70" s="577"/>
      <c r="T70" s="577"/>
      <c r="U70" s="577"/>
      <c r="V70" s="577"/>
      <c r="W70" s="577"/>
      <c r="X70" s="577"/>
      <c r="Y70" s="577"/>
      <c r="Z70" s="578"/>
      <c r="AA70" s="570"/>
      <c r="AB70" s="570"/>
      <c r="AC70" s="570"/>
      <c r="AD70" s="570"/>
      <c r="AE70" s="570"/>
      <c r="AF70" s="570"/>
      <c r="AG70" s="570"/>
      <c r="AH70" s="570"/>
      <c r="AI70" s="570"/>
      <c r="AJ70" s="570"/>
      <c r="AK70" s="570"/>
      <c r="AL70" s="570"/>
      <c r="AM70" s="570"/>
      <c r="AN70" s="570"/>
      <c r="AO70" s="573">
        <v>77</v>
      </c>
      <c r="AP70" s="572"/>
      <c r="AQ70" s="572"/>
      <c r="AR70" s="574">
        <v>112.5</v>
      </c>
      <c r="AS70" s="572"/>
      <c r="AT70" s="572"/>
      <c r="AU70" s="572"/>
      <c r="AV70" s="570"/>
      <c r="AW70" s="570"/>
      <c r="AX70" s="570"/>
      <c r="AY70" s="570"/>
      <c r="AZ70" s="570"/>
      <c r="BA70" s="570"/>
      <c r="BB70" s="583"/>
      <c r="BC70" s="615"/>
      <c r="BD70" s="615"/>
      <c r="BE70" s="615"/>
      <c r="BF70" s="615"/>
      <c r="BG70" s="619">
        <v>74</v>
      </c>
      <c r="BH70" s="618"/>
      <c r="BI70" s="618"/>
      <c r="BJ70" s="620">
        <v>126.1</v>
      </c>
      <c r="BK70" s="618"/>
      <c r="BL70" s="618"/>
      <c r="BM70" s="618"/>
      <c r="BN70" s="615"/>
      <c r="BO70" s="615"/>
      <c r="BP70" s="615"/>
      <c r="BQ70" s="615"/>
      <c r="BR70" s="615"/>
      <c r="BS70" s="615"/>
      <c r="BT70" s="485"/>
      <c r="BU70" s="485"/>
      <c r="BV70" s="485"/>
      <c r="BW70" s="485"/>
      <c r="BX70" s="494"/>
      <c r="BY70" s="615"/>
      <c r="BZ70" s="615"/>
      <c r="CA70" s="615"/>
      <c r="CB70" s="615"/>
      <c r="CC70" s="619">
        <v>52</v>
      </c>
      <c r="CD70" s="618"/>
      <c r="CE70" s="618"/>
      <c r="CF70" s="620">
        <v>88.6</v>
      </c>
      <c r="CG70" s="618"/>
      <c r="CH70" s="618"/>
      <c r="CI70" s="618"/>
      <c r="CJ70" s="615"/>
      <c r="CK70" s="615"/>
      <c r="CL70" s="615"/>
      <c r="CM70" s="615"/>
      <c r="CN70" s="615"/>
      <c r="CO70" s="615"/>
      <c r="CP70" s="615"/>
      <c r="CQ70" s="623"/>
      <c r="CR70" s="623"/>
      <c r="CS70" s="623"/>
      <c r="CT70" s="623"/>
      <c r="CU70" s="623"/>
      <c r="CV70" s="623"/>
      <c r="CW70" s="624"/>
      <c r="CY70" s="21" t="s">
        <v>26</v>
      </c>
    </row>
    <row r="71" spans="2:107" ht="20.100000000000001" customHeight="1" thickBot="1">
      <c r="B71" s="576"/>
      <c r="C71" s="577"/>
      <c r="D71" s="577"/>
      <c r="E71" s="577"/>
      <c r="F71" s="577"/>
      <c r="G71" s="577"/>
      <c r="H71" s="577"/>
      <c r="I71" s="577"/>
      <c r="J71" s="577"/>
      <c r="K71" s="577"/>
      <c r="L71" s="577"/>
      <c r="M71" s="577"/>
      <c r="N71" s="577"/>
      <c r="O71" s="577"/>
      <c r="P71" s="577"/>
      <c r="Q71" s="577"/>
      <c r="R71" s="577"/>
      <c r="S71" s="577"/>
      <c r="T71" s="577"/>
      <c r="U71" s="577"/>
      <c r="V71" s="577"/>
      <c r="W71" s="577"/>
      <c r="X71" s="577"/>
      <c r="Y71" s="577"/>
      <c r="Z71" s="578"/>
      <c r="AA71" s="570"/>
      <c r="AB71" s="570"/>
      <c r="AC71" s="570"/>
      <c r="AD71" s="570"/>
      <c r="AE71" s="570"/>
      <c r="AF71" s="570"/>
      <c r="AG71" s="570"/>
      <c r="AH71" s="570"/>
      <c r="AI71" s="570"/>
      <c r="AJ71" s="570"/>
      <c r="AK71" s="570"/>
      <c r="AL71" s="570"/>
      <c r="AM71" s="570"/>
      <c r="AN71" s="570"/>
      <c r="AO71" s="570"/>
      <c r="AP71" s="570"/>
      <c r="AQ71" s="570"/>
      <c r="AR71" s="570"/>
      <c r="AS71" s="570"/>
      <c r="AT71" s="570"/>
      <c r="AU71" s="570"/>
      <c r="AV71" s="570"/>
      <c r="AW71" s="570"/>
      <c r="AX71" s="570"/>
      <c r="AY71" s="570"/>
      <c r="AZ71" s="570"/>
      <c r="BA71" s="570"/>
      <c r="BB71" s="583"/>
      <c r="BC71" s="615"/>
      <c r="BD71" s="615"/>
      <c r="BE71" s="615"/>
      <c r="BF71" s="615"/>
      <c r="BG71" s="615"/>
      <c r="BH71" s="615"/>
      <c r="BI71" s="615"/>
      <c r="BJ71" s="615"/>
      <c r="BK71" s="615"/>
      <c r="BL71" s="615"/>
      <c r="BM71" s="615"/>
      <c r="BN71" s="615"/>
      <c r="BO71" s="615"/>
      <c r="BP71" s="615"/>
      <c r="BQ71" s="615"/>
      <c r="BR71" s="615"/>
      <c r="BS71" s="615"/>
      <c r="BT71" s="615"/>
      <c r="BU71" s="615"/>
      <c r="BV71" s="615"/>
      <c r="BW71" s="485"/>
      <c r="BX71" s="505"/>
      <c r="BY71" s="615"/>
      <c r="BZ71" s="615"/>
      <c r="CA71" s="615"/>
      <c r="CB71" s="615"/>
      <c r="CC71" s="615"/>
      <c r="CD71" s="615"/>
      <c r="CE71" s="615"/>
      <c r="CF71" s="615"/>
      <c r="CG71" s="615"/>
      <c r="CH71" s="615"/>
      <c r="CI71" s="615"/>
      <c r="CJ71" s="615"/>
      <c r="CK71" s="615"/>
      <c r="CL71" s="615"/>
      <c r="CM71" s="615"/>
      <c r="CN71" s="615"/>
      <c r="CO71" s="615"/>
      <c r="CP71" s="615"/>
      <c r="CQ71" s="623"/>
      <c r="CR71" s="623"/>
      <c r="CS71" s="623"/>
      <c r="CT71" s="623"/>
      <c r="CU71" s="623"/>
      <c r="CV71" s="623"/>
      <c r="CW71" s="624"/>
    </row>
    <row r="72" spans="2:107" ht="20.100000000000001" customHeight="1">
      <c r="B72" s="483"/>
      <c r="C72" s="483"/>
      <c r="D72" s="483"/>
      <c r="E72" s="483"/>
      <c r="F72" s="493"/>
      <c r="G72" s="506"/>
      <c r="H72" s="464"/>
      <c r="I72" s="465"/>
      <c r="J72" s="463"/>
      <c r="K72" s="464"/>
      <c r="L72" s="464"/>
      <c r="M72" s="464"/>
      <c r="N72" s="465"/>
      <c r="O72" s="614"/>
      <c r="P72" s="614"/>
      <c r="Q72" s="614"/>
      <c r="R72" s="614"/>
      <c r="S72" s="614"/>
      <c r="T72" s="614"/>
      <c r="U72" s="614"/>
      <c r="V72" s="614"/>
      <c r="W72" s="614"/>
      <c r="X72" s="614"/>
      <c r="Y72" s="614"/>
      <c r="Z72" s="629"/>
      <c r="AA72" s="483"/>
      <c r="AB72" s="483"/>
      <c r="AC72" s="483"/>
      <c r="AD72" s="483"/>
      <c r="AE72" s="483"/>
      <c r="AF72" s="483"/>
      <c r="AG72" s="483"/>
      <c r="AH72" s="483"/>
      <c r="AI72" s="483"/>
      <c r="AJ72" s="483"/>
      <c r="AK72" s="483"/>
      <c r="AL72" s="483"/>
      <c r="AM72" s="483"/>
      <c r="AN72" s="483"/>
      <c r="AO72" s="483"/>
      <c r="AP72" s="483"/>
      <c r="AQ72" s="483"/>
      <c r="AR72" s="483"/>
      <c r="AS72" s="483"/>
      <c r="AT72" s="483"/>
      <c r="AU72" s="483"/>
      <c r="AV72" s="483"/>
      <c r="AW72" s="483"/>
      <c r="AX72" s="483"/>
      <c r="AY72" s="483"/>
      <c r="AZ72" s="483"/>
      <c r="BA72" s="483"/>
      <c r="BB72" s="493"/>
      <c r="BC72" s="483"/>
      <c r="BD72" s="483"/>
      <c r="BE72" s="483"/>
      <c r="BF72" s="483"/>
      <c r="BG72" s="483"/>
      <c r="BH72" s="483"/>
      <c r="BI72" s="483"/>
      <c r="BJ72" s="541"/>
      <c r="BK72" s="541"/>
      <c r="BL72" s="541"/>
      <c r="BM72" s="541"/>
      <c r="BN72" s="541"/>
      <c r="BO72" s="541"/>
      <c r="BP72" s="541"/>
      <c r="BQ72" s="541"/>
      <c r="BR72" s="541"/>
      <c r="BS72" s="541"/>
      <c r="BT72" s="541"/>
      <c r="BU72" s="541"/>
      <c r="BV72" s="541"/>
      <c r="BW72" s="541"/>
      <c r="BX72" s="541"/>
      <c r="BY72" s="580"/>
      <c r="BZ72" s="541"/>
      <c r="CA72" s="541"/>
      <c r="CB72" s="541"/>
      <c r="CC72" s="541"/>
      <c r="CD72" s="541"/>
      <c r="CE72" s="541"/>
      <c r="CF72" s="541"/>
      <c r="CG72" s="541"/>
      <c r="CH72" s="541"/>
      <c r="CI72" s="541"/>
      <c r="CJ72" s="541"/>
      <c r="CK72" s="541"/>
      <c r="CL72" s="462"/>
      <c r="CM72" s="462"/>
      <c r="CN72" s="462"/>
      <c r="CO72" s="482"/>
      <c r="CP72" s="483"/>
      <c r="CQ72" s="483"/>
      <c r="CR72" s="483"/>
      <c r="CS72" s="483"/>
      <c r="CT72" s="483"/>
      <c r="CU72" s="483"/>
      <c r="CV72" s="483"/>
      <c r="CW72" s="483"/>
      <c r="CY72" s="16" t="s">
        <v>43</v>
      </c>
    </row>
    <row r="73" spans="2:107" ht="20.100000000000001" customHeight="1">
      <c r="B73" s="485"/>
      <c r="C73" s="485"/>
      <c r="D73" s="485"/>
      <c r="E73" s="485"/>
      <c r="F73" s="494"/>
      <c r="G73" s="567" t="s">
        <v>97</v>
      </c>
      <c r="H73" s="546"/>
      <c r="I73" s="546"/>
      <c r="J73" s="546"/>
      <c r="K73" s="615"/>
      <c r="L73" s="615"/>
      <c r="M73" s="615"/>
      <c r="N73" s="615"/>
      <c r="O73" s="615"/>
      <c r="P73" s="615"/>
      <c r="Q73" s="615"/>
      <c r="R73" s="615"/>
      <c r="S73" s="615"/>
      <c r="T73" s="615"/>
      <c r="U73" s="615"/>
      <c r="V73" s="615"/>
      <c r="W73" s="615"/>
      <c r="X73" s="615"/>
      <c r="Y73" s="615"/>
      <c r="Z73" s="630"/>
      <c r="AA73" s="631" t="s">
        <v>94</v>
      </c>
      <c r="AB73" s="546"/>
      <c r="AC73" s="546"/>
      <c r="AD73" s="546"/>
      <c r="AE73" s="546"/>
      <c r="AF73" s="485"/>
      <c r="AG73" s="485"/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  <c r="AV73" s="485"/>
      <c r="AW73" s="485"/>
      <c r="AX73" s="485"/>
      <c r="AY73" s="485"/>
      <c r="AZ73" s="485"/>
      <c r="BA73" s="485"/>
      <c r="BB73" s="494"/>
      <c r="BC73" s="485"/>
      <c r="BD73" s="485"/>
      <c r="BE73" s="485"/>
      <c r="BF73" s="485"/>
      <c r="BG73" s="485"/>
      <c r="BH73" s="453"/>
      <c r="BI73" s="453"/>
      <c r="BJ73" s="453"/>
      <c r="BK73" s="453"/>
      <c r="BL73" s="453"/>
      <c r="BM73" s="453"/>
      <c r="BN73" s="453"/>
      <c r="BO73" s="453"/>
      <c r="BP73" s="453"/>
      <c r="BQ73" s="453"/>
      <c r="BR73" s="453"/>
      <c r="BS73" s="453"/>
      <c r="BT73" s="453"/>
      <c r="BU73" s="453"/>
      <c r="BV73" s="453"/>
      <c r="BW73" s="453"/>
      <c r="BX73" s="453"/>
      <c r="BY73" s="579"/>
      <c r="BZ73" s="453"/>
      <c r="CA73" s="453"/>
      <c r="CB73" s="453"/>
      <c r="CC73" s="453"/>
      <c r="CD73" s="453"/>
      <c r="CE73" s="453"/>
      <c r="CF73" s="453"/>
      <c r="CG73" s="453"/>
      <c r="CH73" s="453"/>
      <c r="CI73" s="453"/>
      <c r="CJ73" s="453"/>
      <c r="CK73" s="453"/>
      <c r="CL73" s="469"/>
      <c r="CM73" s="469"/>
      <c r="CN73" s="469"/>
      <c r="CO73" s="484"/>
      <c r="CP73" s="485"/>
      <c r="CQ73" s="485"/>
      <c r="CR73" s="485"/>
      <c r="CS73" s="485"/>
      <c r="CT73" s="485"/>
      <c r="CU73" s="485"/>
      <c r="CV73" s="485"/>
      <c r="CW73" s="485"/>
      <c r="CY73" s="19" t="s">
        <v>23</v>
      </c>
    </row>
    <row r="74" spans="2:107" ht="20.100000000000001" customHeight="1">
      <c r="B74" s="485"/>
      <c r="C74" s="485"/>
      <c r="D74" s="485"/>
      <c r="E74" s="485"/>
      <c r="F74" s="494"/>
      <c r="G74" s="634">
        <v>9</v>
      </c>
      <c r="H74" s="549"/>
      <c r="I74" s="549"/>
      <c r="J74" s="546"/>
      <c r="K74" s="546"/>
      <c r="L74" s="546"/>
      <c r="M74" s="546"/>
      <c r="N74" s="615"/>
      <c r="O74" s="615"/>
      <c r="P74" s="615"/>
      <c r="Q74" s="615"/>
      <c r="R74" s="615"/>
      <c r="S74" s="615"/>
      <c r="T74" s="615"/>
      <c r="U74" s="615"/>
      <c r="V74" s="615"/>
      <c r="W74" s="615"/>
      <c r="X74" s="615"/>
      <c r="Y74" s="615"/>
      <c r="Z74" s="630"/>
      <c r="AA74" s="634">
        <v>5</v>
      </c>
      <c r="AB74" s="549"/>
      <c r="AC74" s="549"/>
      <c r="AD74" s="546"/>
      <c r="AE74" s="546"/>
      <c r="AF74" s="487" t="s">
        <v>12</v>
      </c>
      <c r="AG74" s="488"/>
      <c r="AH74" s="488"/>
      <c r="AI74" s="488"/>
      <c r="AJ74" s="488"/>
      <c r="AK74" s="488"/>
      <c r="AL74" s="488"/>
      <c r="AM74" s="488"/>
      <c r="AN74" s="489"/>
      <c r="AO74" s="499"/>
      <c r="AP74" s="499"/>
      <c r="AQ74" s="499"/>
      <c r="AR74" s="499"/>
      <c r="AS74" s="499"/>
      <c r="AT74" s="499"/>
      <c r="AU74" s="499"/>
      <c r="AV74" s="500"/>
      <c r="AW74" s="485"/>
      <c r="AX74" s="485"/>
      <c r="AY74" s="485"/>
      <c r="AZ74" s="485"/>
      <c r="BA74" s="485"/>
      <c r="BB74" s="494"/>
      <c r="BC74" s="485"/>
      <c r="BD74" s="485"/>
      <c r="BE74" s="507"/>
      <c r="BF74" s="507"/>
      <c r="BG74" s="507"/>
      <c r="BH74" s="585"/>
      <c r="BI74" s="585"/>
      <c r="BJ74" s="585"/>
      <c r="BK74" s="585"/>
      <c r="BL74" s="585"/>
      <c r="BM74" s="585"/>
      <c r="BN74" s="585"/>
      <c r="BO74" s="585"/>
      <c r="BP74" s="585"/>
      <c r="BQ74" s="585"/>
      <c r="BR74" s="585"/>
      <c r="BS74" s="585"/>
      <c r="BT74" s="585"/>
      <c r="BU74" s="585"/>
      <c r="BV74" s="585"/>
      <c r="BW74" s="585"/>
      <c r="BX74" s="585"/>
      <c r="BY74" s="638"/>
      <c r="BZ74" s="453"/>
      <c r="CA74" s="453"/>
      <c r="CB74" s="453"/>
      <c r="CC74" s="453"/>
      <c r="CD74" s="453"/>
      <c r="CE74" s="453"/>
      <c r="CF74" s="453"/>
      <c r="CG74" s="453"/>
      <c r="CH74" s="453"/>
      <c r="CI74" s="453"/>
      <c r="CJ74" s="453"/>
      <c r="CK74" s="453"/>
      <c r="CL74" s="469"/>
      <c r="CM74" s="469"/>
      <c r="CN74" s="469"/>
      <c r="CO74" s="484"/>
      <c r="CP74" s="485"/>
      <c r="CQ74" s="485"/>
      <c r="CR74" s="485"/>
      <c r="CS74" s="485"/>
      <c r="CT74" s="485"/>
      <c r="CU74" s="485"/>
      <c r="CV74" s="485"/>
      <c r="CW74" s="485"/>
      <c r="CY74" s="19" t="s">
        <v>27</v>
      </c>
    </row>
    <row r="75" spans="2:107" ht="20.100000000000001" customHeight="1" thickBot="1">
      <c r="B75" s="485"/>
      <c r="C75" s="485"/>
      <c r="D75" s="485"/>
      <c r="E75" s="485"/>
      <c r="F75" s="494"/>
      <c r="G75" s="635">
        <v>21.001000000000001</v>
      </c>
      <c r="H75" s="549"/>
      <c r="I75" s="549"/>
      <c r="J75" s="549"/>
      <c r="K75" s="546"/>
      <c r="L75" s="546"/>
      <c r="M75" s="546"/>
      <c r="N75" s="615"/>
      <c r="O75" s="615"/>
      <c r="P75" s="615"/>
      <c r="Q75" s="615"/>
      <c r="R75" s="615"/>
      <c r="S75" s="615"/>
      <c r="T75" s="615"/>
      <c r="U75" s="615"/>
      <c r="V75" s="615"/>
      <c r="W75" s="615"/>
      <c r="X75" s="615"/>
      <c r="Y75" s="615"/>
      <c r="Z75" s="630"/>
      <c r="AA75" s="635">
        <v>9.9</v>
      </c>
      <c r="AB75" s="549"/>
      <c r="AC75" s="549"/>
      <c r="AD75" s="549"/>
      <c r="AE75" s="546"/>
      <c r="AF75" s="490"/>
      <c r="AG75" s="491"/>
      <c r="AH75" s="491"/>
      <c r="AI75" s="491"/>
      <c r="AJ75" s="491"/>
      <c r="AK75" s="491"/>
      <c r="AL75" s="491"/>
      <c r="AM75" s="491"/>
      <c r="AN75" s="492"/>
      <c r="AO75" s="497"/>
      <c r="AP75" s="497"/>
      <c r="AQ75" s="497"/>
      <c r="AR75" s="497"/>
      <c r="AS75" s="497"/>
      <c r="AT75" s="497"/>
      <c r="AU75" s="497"/>
      <c r="AV75" s="498"/>
      <c r="AW75" s="485"/>
      <c r="AX75" s="485"/>
      <c r="AY75" s="485"/>
      <c r="AZ75" s="485"/>
      <c r="BA75" s="485"/>
      <c r="BB75" s="494"/>
      <c r="BC75" s="485"/>
      <c r="BD75" s="485"/>
      <c r="BE75" s="507"/>
      <c r="BF75" s="507"/>
      <c r="BG75" s="507"/>
      <c r="BH75" s="487"/>
      <c r="BI75" s="488"/>
      <c r="BJ75" s="488"/>
      <c r="BK75" s="488"/>
      <c r="BL75" s="488"/>
      <c r="BM75" s="488"/>
      <c r="BN75" s="488"/>
      <c r="BO75" s="488"/>
      <c r="BP75" s="488"/>
      <c r="BQ75" s="488"/>
      <c r="BR75" s="488"/>
      <c r="BS75" s="488"/>
      <c r="BT75" s="488"/>
      <c r="BU75" s="488"/>
      <c r="BV75" s="488"/>
      <c r="BW75" s="488"/>
      <c r="BX75" s="488"/>
      <c r="BY75" s="501"/>
      <c r="BZ75" s="488"/>
      <c r="CA75" s="489"/>
      <c r="CB75" s="453"/>
      <c r="CC75" s="453"/>
      <c r="CD75" s="453"/>
      <c r="CE75" s="453"/>
      <c r="CF75" s="453"/>
      <c r="CG75" s="453"/>
      <c r="CH75" s="453"/>
      <c r="CI75" s="453"/>
      <c r="CJ75" s="453"/>
      <c r="CK75" s="453"/>
      <c r="CL75" s="469"/>
      <c r="CM75" s="469"/>
      <c r="CN75" s="469"/>
      <c r="CO75" s="484"/>
      <c r="CP75" s="485"/>
      <c r="CQ75" s="485"/>
      <c r="CR75" s="485"/>
      <c r="CS75" s="485"/>
      <c r="CT75" s="485"/>
      <c r="CU75" s="485"/>
      <c r="CV75" s="485"/>
      <c r="CW75" s="485"/>
      <c r="CY75" s="18" t="s">
        <v>28</v>
      </c>
    </row>
    <row r="76" spans="2:107" ht="20.100000000000001" customHeight="1" thickTop="1" thickBot="1">
      <c r="B76" s="485"/>
      <c r="C76" s="485"/>
      <c r="D76" s="485"/>
      <c r="E76" s="485"/>
      <c r="F76" s="494"/>
      <c r="G76" s="570"/>
      <c r="H76" s="570"/>
      <c r="I76" s="570"/>
      <c r="J76" s="570"/>
      <c r="K76" s="615"/>
      <c r="L76" s="615"/>
      <c r="M76" s="615"/>
      <c r="N76" s="615"/>
      <c r="O76" s="615"/>
      <c r="P76" s="617" t="s">
        <v>99</v>
      </c>
      <c r="Q76" s="615"/>
      <c r="R76" s="615"/>
      <c r="S76" s="615"/>
      <c r="T76" s="615"/>
      <c r="U76" s="615"/>
      <c r="V76" s="615"/>
      <c r="W76" s="615"/>
      <c r="X76" s="615"/>
      <c r="Y76" s="615"/>
      <c r="Z76" s="630"/>
      <c r="AA76" s="615"/>
      <c r="AB76" s="615"/>
      <c r="AC76" s="615"/>
      <c r="AD76" s="615"/>
      <c r="AE76" s="615"/>
      <c r="AF76" s="615"/>
      <c r="AG76" s="615"/>
      <c r="AH76" s="615"/>
      <c r="AI76" s="615"/>
      <c r="AJ76" s="615"/>
      <c r="AK76" s="615"/>
      <c r="AL76" s="615"/>
      <c r="AM76" s="615"/>
      <c r="AN76" s="615"/>
      <c r="AO76" s="485"/>
      <c r="AP76" s="485"/>
      <c r="AQ76" s="485"/>
      <c r="AR76" s="485"/>
      <c r="AS76" s="485"/>
      <c r="AT76" s="485"/>
      <c r="AU76" s="485"/>
      <c r="AV76" s="485"/>
      <c r="AW76" s="485"/>
      <c r="AX76" s="485"/>
      <c r="AY76" s="485"/>
      <c r="AZ76" s="485"/>
      <c r="BA76" s="485"/>
      <c r="BB76" s="494"/>
      <c r="BC76" s="485"/>
      <c r="BD76" s="485"/>
      <c r="BE76" s="485"/>
      <c r="BF76" s="485"/>
      <c r="BG76" s="485"/>
      <c r="BH76" s="490"/>
      <c r="BI76" s="491"/>
      <c r="BJ76" s="491"/>
      <c r="BK76" s="491"/>
      <c r="BL76" s="491"/>
      <c r="BM76" s="491"/>
      <c r="BN76" s="491"/>
      <c r="BO76" s="491"/>
      <c r="BP76" s="491"/>
      <c r="BQ76" s="491"/>
      <c r="BR76" s="491"/>
      <c r="BS76" s="491"/>
      <c r="BT76" s="491"/>
      <c r="BU76" s="491"/>
      <c r="BV76" s="491"/>
      <c r="BW76" s="491"/>
      <c r="BX76" s="491"/>
      <c r="BY76" s="504"/>
      <c r="BZ76" s="491"/>
      <c r="CA76" s="492"/>
      <c r="CB76" s="453"/>
      <c r="CC76" s="453"/>
      <c r="CD76" s="453"/>
      <c r="CE76" s="453"/>
      <c r="CF76" s="453"/>
      <c r="CG76" s="453"/>
      <c r="CH76" s="453"/>
      <c r="CI76" s="453"/>
      <c r="CJ76" s="453"/>
      <c r="CK76" s="453"/>
      <c r="CL76" s="469"/>
      <c r="CM76" s="469"/>
      <c r="CN76" s="469"/>
      <c r="CO76" s="484"/>
      <c r="CP76" s="485"/>
      <c r="CQ76" s="485"/>
      <c r="CR76" s="485"/>
      <c r="CS76" s="485"/>
      <c r="CT76" s="485"/>
      <c r="CU76" s="485"/>
      <c r="CV76" s="485"/>
      <c r="CW76" s="485"/>
      <c r="CY76" s="64">
        <f>DC76</f>
        <v>93</v>
      </c>
      <c r="CZ76" s="65"/>
      <c r="DA76" s="65"/>
      <c r="DB76" s="66"/>
      <c r="DC76" s="29">
        <f t="array" ref="DC76:DC77">TRANSPOSE(TotalUnitsAndWeightsSum(DECK7))</f>
        <v>93</v>
      </c>
    </row>
    <row r="77" spans="2:107" ht="20.100000000000001" customHeight="1" thickTop="1" thickBot="1">
      <c r="B77" s="485"/>
      <c r="C77" s="485"/>
      <c r="D77" s="485"/>
      <c r="E77" s="485"/>
      <c r="F77" s="494"/>
      <c r="G77" s="570"/>
      <c r="H77" s="570"/>
      <c r="I77" s="570"/>
      <c r="J77" s="570"/>
      <c r="K77" s="615"/>
      <c r="L77" s="615"/>
      <c r="M77" s="615"/>
      <c r="N77" s="615"/>
      <c r="O77" s="615"/>
      <c r="P77" s="619">
        <v>47</v>
      </c>
      <c r="Q77" s="618"/>
      <c r="R77" s="618"/>
      <c r="S77" s="620">
        <v>137.69999999999999</v>
      </c>
      <c r="T77" s="618"/>
      <c r="U77" s="618"/>
      <c r="V77" s="618"/>
      <c r="W77" s="615"/>
      <c r="X77" s="615"/>
      <c r="Y77" s="615"/>
      <c r="Z77" s="630"/>
      <c r="AA77" s="615"/>
      <c r="AB77" s="615"/>
      <c r="AC77" s="615"/>
      <c r="AD77" s="615"/>
      <c r="AE77" s="615"/>
      <c r="AF77" s="615"/>
      <c r="AG77" s="615"/>
      <c r="AH77" s="615"/>
      <c r="AI77" s="615"/>
      <c r="AJ77" s="615"/>
      <c r="AK77" s="615"/>
      <c r="AL77" s="615"/>
      <c r="AM77" s="615"/>
      <c r="AN77" s="615"/>
      <c r="AO77" s="485"/>
      <c r="AP77" s="485"/>
      <c r="AQ77" s="485"/>
      <c r="AR77" s="485"/>
      <c r="AS77" s="485"/>
      <c r="AT77" s="485"/>
      <c r="AU77" s="485"/>
      <c r="AV77" s="485"/>
      <c r="AW77" s="485"/>
      <c r="AX77" s="485"/>
      <c r="AY77" s="485"/>
      <c r="AZ77" s="485"/>
      <c r="BA77" s="485"/>
      <c r="BB77" s="494"/>
      <c r="BC77" s="485"/>
      <c r="BD77" s="485"/>
      <c r="BE77" s="485"/>
      <c r="BF77" s="485"/>
      <c r="BG77" s="485"/>
      <c r="BH77" s="640"/>
      <c r="BI77" s="640"/>
      <c r="BJ77" s="640"/>
      <c r="BK77" s="640"/>
      <c r="BL77" s="640"/>
      <c r="BM77" s="640"/>
      <c r="BN77" s="640"/>
      <c r="BO77" s="585"/>
      <c r="BP77" s="585"/>
      <c r="BQ77" s="585"/>
      <c r="BR77" s="585"/>
      <c r="BS77" s="585"/>
      <c r="BT77" s="585"/>
      <c r="BU77" s="585"/>
      <c r="BV77" s="585"/>
      <c r="BW77" s="585"/>
      <c r="BX77" s="585"/>
      <c r="BY77" s="639"/>
      <c r="BZ77" s="453"/>
      <c r="CA77" s="453"/>
      <c r="CB77" s="453"/>
      <c r="CC77" s="453"/>
      <c r="CD77" s="453"/>
      <c r="CE77" s="453"/>
      <c r="CF77" s="453"/>
      <c r="CG77" s="453"/>
      <c r="CH77" s="453"/>
      <c r="CI77" s="453"/>
      <c r="CJ77" s="453"/>
      <c r="CK77" s="453"/>
      <c r="CL77" s="469"/>
      <c r="CM77" s="469"/>
      <c r="CN77" s="469"/>
      <c r="CO77" s="484"/>
      <c r="CP77" s="485"/>
      <c r="CQ77" s="485"/>
      <c r="CR77" s="485"/>
      <c r="CS77" s="485"/>
      <c r="CT77" s="485"/>
      <c r="CU77" s="485"/>
      <c r="CV77" s="485"/>
      <c r="CW77" s="485"/>
      <c r="CY77" s="67">
        <f>DC77</f>
        <v>245.50099999999998</v>
      </c>
      <c r="CZ77" s="68"/>
      <c r="DA77" s="68"/>
      <c r="DB77" s="69"/>
      <c r="DC77" s="29">
        <v>245.50099999999998</v>
      </c>
    </row>
    <row r="78" spans="2:107" ht="20.100000000000001" customHeight="1" thickTop="1">
      <c r="B78" s="485"/>
      <c r="C78" s="485"/>
      <c r="D78" s="485"/>
      <c r="E78" s="485"/>
      <c r="F78" s="494"/>
      <c r="G78" s="632" t="s">
        <v>98</v>
      </c>
      <c r="H78" s="570"/>
      <c r="I78" s="570"/>
      <c r="J78" s="570"/>
      <c r="K78" s="570"/>
      <c r="L78" s="570"/>
      <c r="M78" s="570"/>
      <c r="N78" s="615"/>
      <c r="O78" s="615"/>
      <c r="P78" s="615"/>
      <c r="Q78" s="615"/>
      <c r="R78" s="615"/>
      <c r="S78" s="615"/>
      <c r="T78" s="615"/>
      <c r="U78" s="615"/>
      <c r="V78" s="615"/>
      <c r="W78" s="615"/>
      <c r="X78" s="615"/>
      <c r="Y78" s="615"/>
      <c r="Z78" s="630"/>
      <c r="AA78" s="615"/>
      <c r="AB78" s="615"/>
      <c r="AC78" s="617" t="s">
        <v>99</v>
      </c>
      <c r="AD78" s="615"/>
      <c r="AE78" s="615"/>
      <c r="AF78" s="615"/>
      <c r="AG78" s="615"/>
      <c r="AH78" s="615"/>
      <c r="AI78" s="615"/>
      <c r="AJ78" s="615"/>
      <c r="AK78" s="615"/>
      <c r="AL78" s="615"/>
      <c r="AM78" s="615"/>
      <c r="AN78" s="615"/>
      <c r="AO78" s="485"/>
      <c r="AP78" s="485"/>
      <c r="AQ78" s="485"/>
      <c r="AR78" s="485"/>
      <c r="AS78" s="485"/>
      <c r="AT78" s="485"/>
      <c r="AU78" s="485"/>
      <c r="AV78" s="485"/>
      <c r="AW78" s="485"/>
      <c r="AX78" s="485"/>
      <c r="AY78" s="485"/>
      <c r="AZ78" s="485"/>
      <c r="BA78" s="485"/>
      <c r="BB78" s="494"/>
      <c r="BC78" s="485"/>
      <c r="BD78" s="485"/>
      <c r="BE78" s="485"/>
      <c r="BF78" s="485"/>
      <c r="BG78" s="485"/>
      <c r="BH78" s="486"/>
      <c r="BI78" s="640"/>
      <c r="BJ78" s="640"/>
      <c r="BK78" s="640"/>
      <c r="BL78" s="640"/>
      <c r="BM78" s="585"/>
      <c r="BN78" s="585"/>
      <c r="BO78" s="585"/>
      <c r="BP78" s="585"/>
      <c r="BQ78" s="585"/>
      <c r="BR78" s="585"/>
      <c r="BS78" s="585"/>
      <c r="BT78" s="585"/>
      <c r="BU78" s="585"/>
      <c r="BV78" s="585"/>
      <c r="BW78" s="585"/>
      <c r="BX78" s="585"/>
      <c r="BY78" s="579"/>
      <c r="BZ78" s="585"/>
      <c r="CA78" s="585"/>
      <c r="CB78" s="453"/>
      <c r="CC78" s="453"/>
      <c r="CD78" s="453"/>
      <c r="CE78" s="453"/>
      <c r="CF78" s="453"/>
      <c r="CG78" s="453"/>
      <c r="CH78" s="453"/>
      <c r="CI78" s="453"/>
      <c r="CJ78" s="453"/>
      <c r="CK78" s="453"/>
      <c r="CL78" s="469"/>
      <c r="CM78" s="469"/>
      <c r="CN78" s="469"/>
      <c r="CO78" s="484"/>
      <c r="CP78" s="485"/>
      <c r="CQ78" s="485"/>
      <c r="CR78" s="485"/>
      <c r="CS78" s="485"/>
      <c r="CT78" s="485"/>
      <c r="CU78" s="485"/>
      <c r="CV78" s="485"/>
      <c r="CW78" s="485"/>
      <c r="CY78" s="13" t="s">
        <v>29</v>
      </c>
    </row>
    <row r="79" spans="2:107" ht="20.100000000000001" customHeight="1">
      <c r="B79" s="485"/>
      <c r="C79" s="485"/>
      <c r="D79" s="485"/>
      <c r="E79" s="485"/>
      <c r="F79" s="494"/>
      <c r="G79" s="636">
        <v>8</v>
      </c>
      <c r="H79" s="572"/>
      <c r="I79" s="572"/>
      <c r="J79" s="570"/>
      <c r="K79" s="570"/>
      <c r="L79" s="570"/>
      <c r="M79" s="570"/>
      <c r="N79" s="615"/>
      <c r="O79" s="615"/>
      <c r="P79" s="615"/>
      <c r="Q79" s="615"/>
      <c r="R79" s="615"/>
      <c r="S79" s="615"/>
      <c r="T79" s="615"/>
      <c r="U79" s="615"/>
      <c r="V79" s="615"/>
      <c r="W79" s="615"/>
      <c r="X79" s="615"/>
      <c r="Y79" s="615"/>
      <c r="Z79" s="630"/>
      <c r="AA79" s="615"/>
      <c r="AB79" s="615"/>
      <c r="AC79" s="619">
        <v>24</v>
      </c>
      <c r="AD79" s="618"/>
      <c r="AE79" s="618"/>
      <c r="AF79" s="620">
        <v>61.2</v>
      </c>
      <c r="AG79" s="618"/>
      <c r="AH79" s="618"/>
      <c r="AI79" s="618"/>
      <c r="AJ79" s="615"/>
      <c r="AK79" s="615"/>
      <c r="AL79" s="615"/>
      <c r="AM79" s="615"/>
      <c r="AN79" s="615"/>
      <c r="AO79" s="485"/>
      <c r="AP79" s="485"/>
      <c r="AQ79" s="485"/>
      <c r="AR79" s="485"/>
      <c r="AS79" s="485"/>
      <c r="AT79" s="485"/>
      <c r="AU79" s="485"/>
      <c r="AV79" s="485"/>
      <c r="AW79" s="485"/>
      <c r="AX79" s="485"/>
      <c r="AY79" s="485"/>
      <c r="AZ79" s="485"/>
      <c r="BA79" s="485"/>
      <c r="BB79" s="494"/>
      <c r="BC79" s="485"/>
      <c r="BD79" s="485"/>
      <c r="BE79" s="485"/>
      <c r="BF79" s="485"/>
      <c r="BG79" s="485"/>
      <c r="BH79" s="485"/>
      <c r="BI79" s="577"/>
      <c r="BJ79" s="577"/>
      <c r="BK79" s="577"/>
      <c r="BL79" s="577"/>
      <c r="BM79" s="453"/>
      <c r="BN79" s="453"/>
      <c r="BO79" s="453"/>
      <c r="BP79" s="453"/>
      <c r="BQ79" s="453"/>
      <c r="BR79" s="453"/>
      <c r="BS79" s="453"/>
      <c r="BT79" s="453"/>
      <c r="BU79" s="453"/>
      <c r="BV79" s="453"/>
      <c r="BW79" s="453"/>
      <c r="BX79" s="453"/>
      <c r="BY79" s="579"/>
      <c r="BZ79" s="453"/>
      <c r="CA79" s="453"/>
      <c r="CB79" s="453"/>
      <c r="CC79" s="453"/>
      <c r="CD79" s="453"/>
      <c r="CE79" s="453"/>
      <c r="CF79" s="453"/>
      <c r="CG79" s="453"/>
      <c r="CH79" s="453"/>
      <c r="CI79" s="453"/>
      <c r="CJ79" s="453"/>
      <c r="CK79" s="453"/>
      <c r="CL79" s="469"/>
      <c r="CM79" s="469"/>
      <c r="CN79" s="469"/>
      <c r="CO79" s="484"/>
      <c r="CP79" s="485"/>
      <c r="CQ79" s="485"/>
      <c r="CR79" s="485"/>
      <c r="CS79" s="485"/>
      <c r="CT79" s="485"/>
      <c r="CU79" s="485"/>
      <c r="CV79" s="485"/>
      <c r="CW79" s="485"/>
      <c r="CY79" s="14" t="s">
        <v>30</v>
      </c>
    </row>
    <row r="80" spans="2:107" ht="20.100000000000001" customHeight="1" thickBot="1">
      <c r="B80" s="485"/>
      <c r="C80" s="485"/>
      <c r="D80" s="485"/>
      <c r="E80" s="485"/>
      <c r="F80" s="494"/>
      <c r="G80" s="637">
        <v>15.7</v>
      </c>
      <c r="H80" s="633"/>
      <c r="I80" s="633"/>
      <c r="J80" s="633"/>
      <c r="K80" s="570"/>
      <c r="L80" s="570"/>
      <c r="M80" s="570"/>
      <c r="N80" s="615"/>
      <c r="O80" s="615"/>
      <c r="P80" s="615"/>
      <c r="Q80" s="615"/>
      <c r="R80" s="615"/>
      <c r="S80" s="615"/>
      <c r="T80" s="615"/>
      <c r="U80" s="615"/>
      <c r="V80" s="615"/>
      <c r="W80" s="615"/>
      <c r="X80" s="615"/>
      <c r="Y80" s="615"/>
      <c r="Z80" s="630"/>
      <c r="AA80" s="615"/>
      <c r="AB80" s="615"/>
      <c r="AC80" s="615"/>
      <c r="AD80" s="615"/>
      <c r="AE80" s="615"/>
      <c r="AF80" s="615"/>
      <c r="AG80" s="615"/>
      <c r="AH80" s="615"/>
      <c r="AI80" s="615"/>
      <c r="AJ80" s="615"/>
      <c r="AK80" s="615"/>
      <c r="AL80" s="615"/>
      <c r="AM80" s="615"/>
      <c r="AN80" s="615"/>
      <c r="AO80" s="485"/>
      <c r="AP80" s="485"/>
      <c r="AQ80" s="485"/>
      <c r="AR80" s="485"/>
      <c r="AS80" s="485"/>
      <c r="AT80" s="485"/>
      <c r="AU80" s="485"/>
      <c r="AV80" s="485"/>
      <c r="AW80" s="485"/>
      <c r="AX80" s="485"/>
      <c r="AY80" s="485"/>
      <c r="AZ80" s="485"/>
      <c r="BA80" s="485"/>
      <c r="BB80" s="494"/>
      <c r="BC80" s="485"/>
      <c r="BD80" s="485"/>
      <c r="BE80" s="485"/>
      <c r="BF80" s="485"/>
      <c r="BG80" s="485"/>
      <c r="BH80" s="485"/>
      <c r="BI80" s="577"/>
      <c r="BJ80" s="577"/>
      <c r="BK80" s="577"/>
      <c r="BL80" s="577"/>
      <c r="BM80" s="453"/>
      <c r="BN80" s="453"/>
      <c r="BO80" s="453"/>
      <c r="BP80" s="453"/>
      <c r="BQ80" s="453"/>
      <c r="BR80" s="453"/>
      <c r="BS80" s="453"/>
      <c r="BT80" s="453"/>
      <c r="BU80" s="453"/>
      <c r="BV80" s="453"/>
      <c r="BW80" s="453"/>
      <c r="BX80" s="453"/>
      <c r="BY80" s="579"/>
      <c r="BZ80" s="453"/>
      <c r="CA80" s="453"/>
      <c r="CB80" s="453"/>
      <c r="CC80" s="453"/>
      <c r="CD80" s="453"/>
      <c r="CE80" s="453"/>
      <c r="CF80" s="453"/>
      <c r="CG80" s="453"/>
      <c r="CH80" s="453"/>
      <c r="CI80" s="453"/>
      <c r="CJ80" s="453"/>
      <c r="CK80" s="453"/>
      <c r="CL80" s="469"/>
      <c r="CM80" s="469"/>
      <c r="CN80" s="469"/>
      <c r="CO80" s="484"/>
      <c r="CP80" s="485"/>
      <c r="CQ80" s="485"/>
      <c r="CR80" s="485"/>
      <c r="CS80" s="485"/>
      <c r="CT80" s="485"/>
      <c r="CU80" s="485"/>
      <c r="CV80" s="485"/>
      <c r="CW80" s="485"/>
    </row>
    <row r="81" spans="2:109" ht="20.100000000000001" customHeight="1">
      <c r="B81" s="482"/>
      <c r="C81" s="483"/>
      <c r="D81" s="483"/>
      <c r="E81" s="483"/>
      <c r="F81" s="483"/>
      <c r="G81" s="483"/>
      <c r="H81" s="483"/>
      <c r="I81" s="483"/>
      <c r="J81" s="463"/>
      <c r="K81" s="464"/>
      <c r="L81" s="464"/>
      <c r="M81" s="464"/>
      <c r="N81" s="465"/>
      <c r="O81" s="483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7"/>
      <c r="AA81" s="483"/>
      <c r="AB81" s="483"/>
      <c r="AC81" s="483"/>
      <c r="AD81" s="483"/>
      <c r="AE81" s="483"/>
      <c r="AF81" s="483"/>
      <c r="AG81" s="483"/>
      <c r="AH81" s="483"/>
      <c r="AI81" s="483"/>
      <c r="AJ81" s="483"/>
      <c r="AK81" s="483"/>
      <c r="AL81" s="483"/>
      <c r="AM81" s="483"/>
      <c r="AN81" s="483"/>
      <c r="AO81" s="483"/>
      <c r="AP81" s="483"/>
      <c r="AQ81" s="483"/>
      <c r="AR81" s="483"/>
      <c r="AS81" s="483"/>
      <c r="AT81" s="483"/>
      <c r="AU81" s="483"/>
      <c r="AV81" s="483"/>
      <c r="AW81" s="483"/>
      <c r="AX81" s="483"/>
      <c r="AY81" s="483"/>
      <c r="AZ81" s="483"/>
      <c r="BA81" s="483"/>
      <c r="BB81" s="49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2"/>
      <c r="BZ81" s="483"/>
      <c r="CA81" s="483"/>
      <c r="CB81" s="483"/>
      <c r="CC81" s="483"/>
      <c r="CD81" s="483"/>
      <c r="CE81" s="483"/>
      <c r="CF81" s="483"/>
      <c r="CG81" s="483"/>
      <c r="CH81" s="483"/>
      <c r="CI81" s="483"/>
      <c r="CJ81" s="483"/>
      <c r="CK81" s="483"/>
      <c r="CL81" s="483"/>
      <c r="CM81" s="483"/>
      <c r="CN81" s="483"/>
      <c r="CO81" s="483"/>
      <c r="CP81" s="483"/>
      <c r="CQ81" s="484"/>
      <c r="CR81" s="485"/>
      <c r="CS81" s="36"/>
      <c r="CT81" s="36"/>
      <c r="CU81" s="36"/>
      <c r="CV81" s="36"/>
      <c r="CW81" s="36"/>
      <c r="CY81" s="119" t="s">
        <v>44</v>
      </c>
      <c r="CZ81" s="120"/>
      <c r="DA81" s="120"/>
      <c r="DB81" s="120"/>
      <c r="DC81" s="218" t="s">
        <v>42</v>
      </c>
      <c r="DD81" s="218"/>
      <c r="DE81" s="219"/>
    </row>
    <row r="82" spans="2:109" ht="20.100000000000001" customHeight="1">
      <c r="B82" s="484"/>
      <c r="C82" s="485"/>
      <c r="D82" s="485"/>
      <c r="E82" s="485"/>
      <c r="F82" s="485"/>
      <c r="G82" s="485"/>
      <c r="H82" s="485"/>
      <c r="I82" s="485"/>
      <c r="J82" s="485"/>
      <c r="K82" s="485"/>
      <c r="L82" s="485"/>
      <c r="M82" s="485"/>
      <c r="N82" s="485"/>
      <c r="O82" s="485"/>
      <c r="P82" s="470"/>
      <c r="Q82" s="470"/>
      <c r="R82" s="470"/>
      <c r="S82" s="470"/>
      <c r="T82" s="470"/>
      <c r="U82" s="470"/>
      <c r="V82" s="470"/>
      <c r="W82" s="470"/>
      <c r="X82" s="470"/>
      <c r="Y82" s="470"/>
      <c r="Z82" s="471"/>
      <c r="AA82" s="38"/>
      <c r="AB82" s="38"/>
      <c r="AC82" s="485"/>
      <c r="AD82" s="485"/>
      <c r="AE82" s="485"/>
      <c r="AF82" s="485"/>
      <c r="AG82" s="485"/>
      <c r="AH82" s="485"/>
      <c r="AI82" s="485"/>
      <c r="AJ82" s="485"/>
      <c r="AK82" s="485"/>
      <c r="AL82" s="485"/>
      <c r="AM82" s="485"/>
      <c r="AN82" s="485"/>
      <c r="AO82" s="485"/>
      <c r="AP82" s="485"/>
      <c r="AQ82" s="485"/>
      <c r="AR82" s="485"/>
      <c r="AS82" s="485"/>
      <c r="AT82" s="485"/>
      <c r="AU82" s="485"/>
      <c r="AV82" s="485"/>
      <c r="AW82" s="485"/>
      <c r="AX82" s="485"/>
      <c r="AY82" s="485"/>
      <c r="AZ82" s="485"/>
      <c r="BA82" s="485"/>
      <c r="BB82" s="494"/>
      <c r="BC82" s="485"/>
      <c r="BD82" s="485"/>
      <c r="BE82" s="485"/>
      <c r="BF82" s="485"/>
      <c r="BG82" s="485"/>
      <c r="BH82" s="485"/>
      <c r="BI82" s="485"/>
      <c r="BJ82" s="485"/>
      <c r="BK82" s="485"/>
      <c r="BL82" s="485"/>
      <c r="BM82" s="485"/>
      <c r="BN82" s="485"/>
      <c r="BO82" s="485"/>
      <c r="BP82" s="485"/>
      <c r="BQ82" s="485"/>
      <c r="BR82" s="485"/>
      <c r="BS82" s="485"/>
      <c r="BT82" s="485"/>
      <c r="BU82" s="485"/>
      <c r="BV82" s="485"/>
      <c r="BW82" s="485"/>
      <c r="BX82" s="485"/>
      <c r="BY82" s="484"/>
      <c r="BZ82" s="485"/>
      <c r="CA82" s="485"/>
      <c r="CB82" s="485"/>
      <c r="CC82" s="485"/>
      <c r="CD82" s="485"/>
      <c r="CE82" s="485"/>
      <c r="CF82" s="485"/>
      <c r="CG82" s="485"/>
      <c r="CH82" s="485"/>
      <c r="CI82" s="485"/>
      <c r="CJ82" s="485"/>
      <c r="CK82" s="485"/>
      <c r="CL82" s="485"/>
      <c r="CM82" s="485"/>
      <c r="CN82" s="485"/>
      <c r="CO82" s="485"/>
      <c r="CP82" s="485"/>
      <c r="CQ82" s="484"/>
      <c r="CR82" s="485"/>
      <c r="CS82" s="36"/>
      <c r="CT82" s="36"/>
      <c r="CU82" s="36"/>
      <c r="CV82" s="36"/>
      <c r="CW82" s="36"/>
      <c r="CY82" s="19" t="s">
        <v>5</v>
      </c>
    </row>
    <row r="83" spans="2:109" ht="20.100000000000001" customHeight="1">
      <c r="B83" s="484"/>
      <c r="C83" s="485"/>
      <c r="D83" s="485"/>
      <c r="E83" s="485"/>
      <c r="F83" s="485"/>
      <c r="G83" s="485"/>
      <c r="H83" s="485"/>
      <c r="I83" s="485"/>
      <c r="J83" s="485"/>
      <c r="K83" s="485"/>
      <c r="L83" s="485"/>
      <c r="M83" s="485"/>
      <c r="N83" s="485"/>
      <c r="O83" s="485"/>
      <c r="P83" s="470"/>
      <c r="Q83" s="470"/>
      <c r="R83" s="470"/>
      <c r="S83" s="470"/>
      <c r="T83" s="470"/>
      <c r="U83" s="470"/>
      <c r="V83" s="470"/>
      <c r="W83" s="470"/>
      <c r="X83" s="470"/>
      <c r="Y83" s="470"/>
      <c r="Z83" s="471"/>
      <c r="AA83" s="38"/>
      <c r="AB83" s="38"/>
      <c r="AC83" s="486"/>
      <c r="AD83" s="486"/>
      <c r="AE83" s="486"/>
      <c r="AF83" s="486"/>
      <c r="AG83" s="486"/>
      <c r="AH83" s="486"/>
      <c r="AI83" s="486"/>
      <c r="AJ83" s="486"/>
      <c r="AK83" s="486"/>
      <c r="AL83" s="486"/>
      <c r="AM83" s="486"/>
      <c r="AN83" s="486"/>
      <c r="AO83" s="486"/>
      <c r="AP83" s="486"/>
      <c r="AQ83" s="486"/>
      <c r="AR83" s="486"/>
      <c r="AS83" s="486"/>
      <c r="AT83" s="486"/>
      <c r="AU83" s="486"/>
      <c r="AV83" s="486"/>
      <c r="AW83" s="485"/>
      <c r="AX83" s="485"/>
      <c r="AY83" s="485"/>
      <c r="AZ83" s="485"/>
      <c r="BA83" s="485"/>
      <c r="BB83" s="494"/>
      <c r="BC83" s="485"/>
      <c r="BD83" s="485"/>
      <c r="BE83" s="485"/>
      <c r="BF83" s="485"/>
      <c r="BG83" s="485"/>
      <c r="BH83" s="486"/>
      <c r="BI83" s="486"/>
      <c r="BJ83" s="486"/>
      <c r="BK83" s="486"/>
      <c r="BL83" s="486"/>
      <c r="BM83" s="486"/>
      <c r="BN83" s="486"/>
      <c r="BO83" s="486"/>
      <c r="BP83" s="486"/>
      <c r="BQ83" s="486"/>
      <c r="BR83" s="486"/>
      <c r="BS83" s="486"/>
      <c r="BT83" s="486"/>
      <c r="BU83" s="486"/>
      <c r="BV83" s="486"/>
      <c r="BW83" s="486"/>
      <c r="BX83" s="486"/>
      <c r="BY83" s="484"/>
      <c r="BZ83" s="486"/>
      <c r="CA83" s="486"/>
      <c r="CB83" s="485"/>
      <c r="CC83" s="485"/>
      <c r="CD83" s="485"/>
      <c r="CE83" s="485"/>
      <c r="CF83" s="485"/>
      <c r="CG83" s="485"/>
      <c r="CH83" s="485"/>
      <c r="CI83" s="485"/>
      <c r="CJ83" s="485"/>
      <c r="CK83" s="485"/>
      <c r="CL83" s="485"/>
      <c r="CM83" s="485"/>
      <c r="CN83" s="485"/>
      <c r="CO83" s="485"/>
      <c r="CP83" s="485"/>
      <c r="CQ83" s="484"/>
      <c r="CR83" s="485"/>
      <c r="CS83" s="36"/>
      <c r="CT83" s="36"/>
      <c r="CU83" s="36"/>
      <c r="CV83" s="36"/>
      <c r="CW83" s="36"/>
      <c r="CY83" s="18" t="s">
        <v>4</v>
      </c>
    </row>
    <row r="84" spans="2:109" ht="20.100000000000001" customHeight="1" thickBot="1">
      <c r="B84" s="484"/>
      <c r="C84" s="485"/>
      <c r="D84" s="485"/>
      <c r="E84" s="485"/>
      <c r="F84" s="485"/>
      <c r="G84" s="485"/>
      <c r="H84" s="485"/>
      <c r="I84" s="485"/>
      <c r="J84" s="485"/>
      <c r="K84" s="485"/>
      <c r="L84" s="485"/>
      <c r="M84" s="485"/>
      <c r="N84" s="485"/>
      <c r="O84" s="485"/>
      <c r="P84" s="470"/>
      <c r="Q84" s="470"/>
      <c r="R84" s="470"/>
      <c r="S84" s="470"/>
      <c r="T84" s="470"/>
      <c r="U84" s="470"/>
      <c r="V84" s="470"/>
      <c r="W84" s="470"/>
      <c r="X84" s="470"/>
      <c r="Y84" s="470"/>
      <c r="Z84" s="471"/>
      <c r="AA84" s="38"/>
      <c r="AB84" s="38"/>
      <c r="AC84" s="510"/>
      <c r="AD84" s="495"/>
      <c r="AE84" s="495"/>
      <c r="AF84" s="495"/>
      <c r="AG84" s="495"/>
      <c r="AH84" s="495"/>
      <c r="AI84" s="495"/>
      <c r="AJ84" s="495"/>
      <c r="AK84" s="495"/>
      <c r="AL84" s="495"/>
      <c r="AM84" s="495"/>
      <c r="AN84" s="496"/>
      <c r="AO84" s="511"/>
      <c r="AP84" s="502"/>
      <c r="AQ84" s="502"/>
      <c r="AR84" s="502"/>
      <c r="AS84" s="502"/>
      <c r="AT84" s="502"/>
      <c r="AU84" s="502"/>
      <c r="AV84" s="503"/>
      <c r="AW84" s="485"/>
      <c r="AX84" s="485"/>
      <c r="AY84" s="485"/>
      <c r="AZ84" s="485"/>
      <c r="BA84" s="485"/>
      <c r="BB84" s="494"/>
      <c r="BC84" s="485"/>
      <c r="BD84" s="485"/>
      <c r="BE84" s="485"/>
      <c r="BF84" s="485"/>
      <c r="BG84" s="485"/>
      <c r="BH84" s="510"/>
      <c r="BI84" s="495"/>
      <c r="BJ84" s="495"/>
      <c r="BK84" s="495"/>
      <c r="BL84" s="495"/>
      <c r="BM84" s="495"/>
      <c r="BN84" s="495"/>
      <c r="BO84" s="495"/>
      <c r="BP84" s="495"/>
      <c r="BQ84" s="495"/>
      <c r="BR84" s="495"/>
      <c r="BS84" s="496"/>
      <c r="BT84" s="510"/>
      <c r="BU84" s="495"/>
      <c r="BV84" s="495"/>
      <c r="BW84" s="495"/>
      <c r="BX84" s="495"/>
      <c r="BY84" s="509"/>
      <c r="BZ84" s="495"/>
      <c r="CA84" s="496"/>
      <c r="CB84" s="485"/>
      <c r="CC84" s="485"/>
      <c r="CD84" s="485"/>
      <c r="CE84" s="485"/>
      <c r="CF84" s="485"/>
      <c r="CG84" s="485"/>
      <c r="CH84" s="485"/>
      <c r="CI84" s="485"/>
      <c r="CJ84" s="485"/>
      <c r="CK84" s="485"/>
      <c r="CL84" s="485"/>
      <c r="CM84" s="485"/>
      <c r="CN84" s="485"/>
      <c r="CO84" s="485"/>
      <c r="CP84" s="485"/>
      <c r="CQ84" s="484"/>
      <c r="CR84" s="485"/>
      <c r="CS84" s="36"/>
      <c r="CT84" s="36"/>
      <c r="CU84" s="36"/>
      <c r="CV84" s="36"/>
      <c r="CW84" s="36"/>
      <c r="CY84" s="19" t="s">
        <v>23</v>
      </c>
    </row>
    <row r="85" spans="2:109" ht="20.100000000000001" customHeight="1" thickTop="1" thickBot="1">
      <c r="B85" s="484"/>
      <c r="C85" s="485"/>
      <c r="D85" s="485"/>
      <c r="E85" s="485"/>
      <c r="F85" s="485"/>
      <c r="G85" s="485"/>
      <c r="H85" s="485"/>
      <c r="I85" s="485"/>
      <c r="J85" s="485"/>
      <c r="K85" s="485"/>
      <c r="L85" s="485"/>
      <c r="M85" s="485"/>
      <c r="N85" s="485"/>
      <c r="O85" s="485"/>
      <c r="P85" s="470"/>
      <c r="Q85" s="470"/>
      <c r="R85" s="470"/>
      <c r="S85" s="470"/>
      <c r="T85" s="470"/>
      <c r="U85" s="470"/>
      <c r="V85" s="470"/>
      <c r="W85" s="470"/>
      <c r="X85" s="470"/>
      <c r="Y85" s="470"/>
      <c r="Z85" s="471"/>
      <c r="AA85" s="38"/>
      <c r="AB85" s="38"/>
      <c r="AC85" s="512"/>
      <c r="AD85" s="497"/>
      <c r="AE85" s="497"/>
      <c r="AF85" s="497"/>
      <c r="AG85" s="497"/>
      <c r="AH85" s="497"/>
      <c r="AI85" s="497"/>
      <c r="AJ85" s="497"/>
      <c r="AK85" s="497"/>
      <c r="AL85" s="497"/>
      <c r="AM85" s="497"/>
      <c r="AN85" s="498"/>
      <c r="AO85" s="513"/>
      <c r="AP85" s="499"/>
      <c r="AQ85" s="499"/>
      <c r="AR85" s="499"/>
      <c r="AS85" s="499"/>
      <c r="AT85" s="499"/>
      <c r="AU85" s="499"/>
      <c r="AV85" s="500"/>
      <c r="AW85" s="485"/>
      <c r="AX85" s="485"/>
      <c r="AY85" s="485"/>
      <c r="AZ85" s="485"/>
      <c r="BA85" s="485"/>
      <c r="BB85" s="494"/>
      <c r="BC85" s="485"/>
      <c r="BD85" s="485"/>
      <c r="BE85" s="485"/>
      <c r="BF85" s="485"/>
      <c r="BG85" s="485"/>
      <c r="BH85" s="512"/>
      <c r="BI85" s="497"/>
      <c r="BJ85" s="497"/>
      <c r="BK85" s="497"/>
      <c r="BL85" s="497"/>
      <c r="BM85" s="497"/>
      <c r="BN85" s="497"/>
      <c r="BO85" s="497"/>
      <c r="BP85" s="497"/>
      <c r="BQ85" s="497"/>
      <c r="BR85" s="497"/>
      <c r="BS85" s="498"/>
      <c r="BT85" s="512"/>
      <c r="BU85" s="497"/>
      <c r="BV85" s="497"/>
      <c r="BW85" s="497"/>
      <c r="BX85" s="497"/>
      <c r="BY85" s="508"/>
      <c r="BZ85" s="497"/>
      <c r="CA85" s="498"/>
      <c r="CB85" s="485"/>
      <c r="CC85" s="485"/>
      <c r="CD85" s="485"/>
      <c r="CE85" s="485"/>
      <c r="CF85" s="485"/>
      <c r="CG85" s="485"/>
      <c r="CH85" s="485"/>
      <c r="CI85" s="485"/>
      <c r="CJ85" s="485"/>
      <c r="CK85" s="485"/>
      <c r="CL85" s="485"/>
      <c r="CM85" s="485"/>
      <c r="CN85" s="485"/>
      <c r="CO85" s="485"/>
      <c r="CP85" s="485"/>
      <c r="CQ85" s="484"/>
      <c r="CR85" s="485"/>
      <c r="CS85" s="36"/>
      <c r="CT85" s="36"/>
      <c r="CU85" s="36"/>
      <c r="CV85" s="36"/>
      <c r="CW85" s="36"/>
      <c r="CY85" s="64">
        <f>DC85</f>
        <v>0</v>
      </c>
      <c r="CZ85" s="65"/>
      <c r="DA85" s="65"/>
      <c r="DB85" s="66"/>
      <c r="DC85" s="29">
        <f t="array" ref="DC85:DC86">TRANSPOSE(TotalUnitsAndWeightsSum(DECK6))</f>
        <v>0</v>
      </c>
    </row>
    <row r="86" spans="2:109" ht="20.100000000000001" customHeight="1" thickTop="1" thickBot="1">
      <c r="B86" s="484"/>
      <c r="C86" s="485"/>
      <c r="D86" s="485"/>
      <c r="E86" s="485"/>
      <c r="F86" s="485"/>
      <c r="G86" s="485"/>
      <c r="H86" s="485"/>
      <c r="I86" s="485"/>
      <c r="J86" s="485"/>
      <c r="K86" s="485"/>
      <c r="L86" s="485"/>
      <c r="M86" s="485"/>
      <c r="N86" s="485"/>
      <c r="O86" s="485"/>
      <c r="P86" s="470"/>
      <c r="Q86" s="470"/>
      <c r="R86" s="470"/>
      <c r="S86" s="470"/>
      <c r="T86" s="470"/>
      <c r="U86" s="470"/>
      <c r="V86" s="470"/>
      <c r="W86" s="470"/>
      <c r="X86" s="470"/>
      <c r="Y86" s="470"/>
      <c r="Z86" s="471"/>
      <c r="AA86" s="485"/>
      <c r="AB86" s="485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5"/>
      <c r="AX86" s="485"/>
      <c r="AY86" s="485"/>
      <c r="AZ86" s="485"/>
      <c r="BA86" s="485"/>
      <c r="BB86" s="494"/>
      <c r="BC86" s="485"/>
      <c r="BD86" s="485"/>
      <c r="BE86" s="485"/>
      <c r="BF86" s="485"/>
      <c r="BG86" s="485"/>
      <c r="BH86" s="485"/>
      <c r="BI86" s="485"/>
      <c r="BJ86" s="485"/>
      <c r="BK86" s="485"/>
      <c r="BL86" s="485"/>
      <c r="BM86" s="485"/>
      <c r="BN86" s="485"/>
      <c r="BO86" s="485"/>
      <c r="BP86" s="485"/>
      <c r="BQ86" s="485"/>
      <c r="BR86" s="485"/>
      <c r="BS86" s="485"/>
      <c r="BT86" s="485"/>
      <c r="BU86" s="485"/>
      <c r="BV86" s="485"/>
      <c r="BW86" s="485"/>
      <c r="BX86" s="485"/>
      <c r="BY86" s="484"/>
      <c r="BZ86" s="485"/>
      <c r="CA86" s="485"/>
      <c r="CB86" s="485"/>
      <c r="CC86" s="485"/>
      <c r="CD86" s="485"/>
      <c r="CE86" s="485"/>
      <c r="CF86" s="485"/>
      <c r="CG86" s="485"/>
      <c r="CH86" s="485"/>
      <c r="CI86" s="485"/>
      <c r="CJ86" s="485"/>
      <c r="CK86" s="485"/>
      <c r="CL86" s="485"/>
      <c r="CM86" s="485"/>
      <c r="CN86" s="485"/>
      <c r="CO86" s="485"/>
      <c r="CP86" s="485"/>
      <c r="CQ86" s="484"/>
      <c r="CR86" s="485"/>
      <c r="CS86" s="36"/>
      <c r="CT86" s="36"/>
      <c r="CU86" s="36"/>
      <c r="CV86" s="36"/>
      <c r="CW86" s="36"/>
      <c r="CY86" s="67">
        <f>DC86</f>
        <v>0</v>
      </c>
      <c r="CZ86" s="68"/>
      <c r="DA86" s="68"/>
      <c r="DB86" s="69"/>
      <c r="DC86" s="29">
        <v>0</v>
      </c>
    </row>
    <row r="87" spans="2:109" ht="20.100000000000001" customHeight="1" thickTop="1">
      <c r="B87" s="484"/>
      <c r="C87" s="485"/>
      <c r="D87" s="485"/>
      <c r="E87" s="485"/>
      <c r="F87" s="485"/>
      <c r="G87" s="485"/>
      <c r="H87" s="485"/>
      <c r="I87" s="485"/>
      <c r="J87" s="485"/>
      <c r="K87" s="485"/>
      <c r="L87" s="485"/>
      <c r="M87" s="485"/>
      <c r="N87" s="485"/>
      <c r="O87" s="485"/>
      <c r="P87" s="470"/>
      <c r="Q87" s="470"/>
      <c r="R87" s="470"/>
      <c r="S87" s="470"/>
      <c r="T87" s="470"/>
      <c r="U87" s="470"/>
      <c r="V87" s="470"/>
      <c r="W87" s="470"/>
      <c r="X87" s="470"/>
      <c r="Y87" s="470"/>
      <c r="Z87" s="471"/>
      <c r="AA87" s="485"/>
      <c r="AB87" s="485"/>
      <c r="AC87" s="486"/>
      <c r="AD87" s="486"/>
      <c r="AE87" s="486"/>
      <c r="AF87" s="486"/>
      <c r="AG87" s="486"/>
      <c r="AH87" s="486"/>
      <c r="AI87" s="486"/>
      <c r="AJ87" s="486"/>
      <c r="AK87" s="486"/>
      <c r="AL87" s="486"/>
      <c r="AM87" s="486"/>
      <c r="AN87" s="486"/>
      <c r="AO87" s="486"/>
      <c r="AP87" s="486"/>
      <c r="AQ87" s="486"/>
      <c r="AR87" s="486"/>
      <c r="AS87" s="486"/>
      <c r="AT87" s="486"/>
      <c r="AU87" s="486"/>
      <c r="AV87" s="486"/>
      <c r="AW87" s="485"/>
      <c r="AX87" s="485"/>
      <c r="AY87" s="485"/>
      <c r="AZ87" s="485"/>
      <c r="BA87" s="485"/>
      <c r="BB87" s="494"/>
      <c r="BC87" s="485"/>
      <c r="BD87" s="485"/>
      <c r="BE87" s="485"/>
      <c r="BF87" s="485"/>
      <c r="BG87" s="485"/>
      <c r="BH87" s="485"/>
      <c r="BI87" s="485"/>
      <c r="BJ87" s="485"/>
      <c r="BK87" s="485"/>
      <c r="BL87" s="485"/>
      <c r="BM87" s="485"/>
      <c r="BN87" s="485"/>
      <c r="BO87" s="485"/>
      <c r="BP87" s="485"/>
      <c r="BQ87" s="485"/>
      <c r="BR87" s="485"/>
      <c r="BS87" s="485"/>
      <c r="BT87" s="485"/>
      <c r="BU87" s="485"/>
      <c r="BV87" s="485"/>
      <c r="BW87" s="485"/>
      <c r="BX87" s="485"/>
      <c r="BY87" s="484"/>
      <c r="BZ87" s="485"/>
      <c r="CA87" s="485"/>
      <c r="CB87" s="485"/>
      <c r="CC87" s="485"/>
      <c r="CD87" s="485"/>
      <c r="CE87" s="485"/>
      <c r="CF87" s="485"/>
      <c r="CG87" s="485"/>
      <c r="CH87" s="485"/>
      <c r="CI87" s="485"/>
      <c r="CJ87" s="485"/>
      <c r="CK87" s="485"/>
      <c r="CL87" s="485"/>
      <c r="CM87" s="485"/>
      <c r="CN87" s="485"/>
      <c r="CO87" s="485"/>
      <c r="CP87" s="485"/>
      <c r="CQ87" s="484"/>
      <c r="CR87" s="485"/>
      <c r="CS87" s="36"/>
      <c r="CT87" s="36"/>
      <c r="CU87" s="36"/>
      <c r="CV87" s="36"/>
      <c r="CW87" s="36"/>
      <c r="CY87" s="13" t="s">
        <v>24</v>
      </c>
    </row>
    <row r="88" spans="2:109" ht="20.100000000000001" customHeight="1">
      <c r="B88" s="484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94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494"/>
      <c r="BC88" s="485"/>
      <c r="BD88" s="485"/>
      <c r="BE88" s="485"/>
      <c r="BF88" s="485"/>
      <c r="BG88" s="485"/>
      <c r="BH88" s="485"/>
      <c r="BI88" s="485"/>
      <c r="BJ88" s="485"/>
      <c r="BK88" s="485"/>
      <c r="BL88" s="485"/>
      <c r="BM88" s="485"/>
      <c r="BN88" s="485"/>
      <c r="BO88" s="485"/>
      <c r="BP88" s="485"/>
      <c r="BQ88" s="485"/>
      <c r="BR88" s="485"/>
      <c r="BS88" s="485"/>
      <c r="BT88" s="485"/>
      <c r="BU88" s="485"/>
      <c r="BV88" s="485"/>
      <c r="BW88" s="485"/>
      <c r="BX88" s="485"/>
      <c r="BY88" s="484"/>
      <c r="BZ88" s="485"/>
      <c r="CA88" s="485"/>
      <c r="CB88" s="485"/>
      <c r="CC88" s="485"/>
      <c r="CD88" s="485"/>
      <c r="CE88" s="485"/>
      <c r="CF88" s="485"/>
      <c r="CG88" s="485"/>
      <c r="CH88" s="485"/>
      <c r="CI88" s="485"/>
      <c r="CJ88" s="485"/>
      <c r="CK88" s="485"/>
      <c r="CL88" s="485"/>
      <c r="CM88" s="485"/>
      <c r="CN88" s="485"/>
      <c r="CO88" s="485"/>
      <c r="CP88" s="485"/>
      <c r="CQ88" s="484"/>
      <c r="CR88" s="485"/>
      <c r="CS88" s="36"/>
      <c r="CT88" s="36"/>
      <c r="CU88" s="36"/>
      <c r="CV88" s="36"/>
      <c r="CW88" s="36"/>
      <c r="CY88" s="14" t="s">
        <v>25</v>
      </c>
    </row>
    <row r="89" spans="2:109" ht="20.100000000000001" customHeight="1" thickBot="1">
      <c r="B89" s="484"/>
      <c r="C89" s="485"/>
      <c r="D89" s="485"/>
      <c r="E89" s="485"/>
      <c r="F89" s="485"/>
      <c r="G89" s="485"/>
      <c r="H89" s="485"/>
      <c r="I89" s="485"/>
      <c r="J89" s="485"/>
      <c r="K89" s="485"/>
      <c r="L89" s="485"/>
      <c r="M89" s="485"/>
      <c r="N89" s="485"/>
      <c r="O89" s="485"/>
      <c r="P89" s="485"/>
      <c r="Q89" s="485"/>
      <c r="R89" s="485"/>
      <c r="S89" s="485"/>
      <c r="T89" s="485"/>
      <c r="U89" s="485"/>
      <c r="V89" s="485"/>
      <c r="W89" s="485"/>
      <c r="X89" s="485"/>
      <c r="Y89" s="485"/>
      <c r="Z89" s="494"/>
      <c r="AA89" s="485"/>
      <c r="AB89" s="485"/>
      <c r="AC89" s="485"/>
      <c r="AD89" s="485"/>
      <c r="AE89" s="485"/>
      <c r="AF89" s="485"/>
      <c r="AG89" s="485"/>
      <c r="AH89" s="485"/>
      <c r="AI89" s="485"/>
      <c r="AJ89" s="485"/>
      <c r="AK89" s="485"/>
      <c r="AL89" s="485"/>
      <c r="AM89" s="485"/>
      <c r="AN89" s="485"/>
      <c r="AO89" s="485"/>
      <c r="AP89" s="485"/>
      <c r="AQ89" s="485"/>
      <c r="AR89" s="485"/>
      <c r="AS89" s="485"/>
      <c r="AT89" s="485"/>
      <c r="AU89" s="485"/>
      <c r="AV89" s="485"/>
      <c r="AW89" s="485"/>
      <c r="AX89" s="485"/>
      <c r="AY89" s="485"/>
      <c r="AZ89" s="485"/>
      <c r="BA89" s="485"/>
      <c r="BB89" s="494"/>
      <c r="BC89" s="485"/>
      <c r="BD89" s="485"/>
      <c r="BE89" s="485"/>
      <c r="BF89" s="485"/>
      <c r="BG89" s="485"/>
      <c r="BH89" s="485"/>
      <c r="BI89" s="485"/>
      <c r="BJ89" s="485"/>
      <c r="BK89" s="485"/>
      <c r="BL89" s="485"/>
      <c r="BM89" s="485"/>
      <c r="BN89" s="485"/>
      <c r="BO89" s="485"/>
      <c r="BP89" s="485"/>
      <c r="BQ89" s="485"/>
      <c r="BR89" s="485"/>
      <c r="BS89" s="485"/>
      <c r="BT89" s="485"/>
      <c r="BU89" s="485"/>
      <c r="BV89" s="485"/>
      <c r="BW89" s="485"/>
      <c r="BX89" s="485"/>
      <c r="BY89" s="484"/>
      <c r="BZ89" s="485"/>
      <c r="CA89" s="485"/>
      <c r="CB89" s="485"/>
      <c r="CC89" s="485"/>
      <c r="CD89" s="485"/>
      <c r="CE89" s="485"/>
      <c r="CF89" s="485"/>
      <c r="CG89" s="485"/>
      <c r="CH89" s="485"/>
      <c r="CI89" s="485"/>
      <c r="CJ89" s="485"/>
      <c r="CK89" s="485"/>
      <c r="CL89" s="485"/>
      <c r="CM89" s="485"/>
      <c r="CN89" s="485"/>
      <c r="CO89" s="485"/>
      <c r="CP89" s="485"/>
      <c r="CQ89" s="484"/>
      <c r="CR89" s="485"/>
      <c r="CS89" s="36"/>
      <c r="CT89" s="36"/>
      <c r="CU89" s="36"/>
      <c r="CV89" s="36"/>
      <c r="CW89" s="36"/>
    </row>
    <row r="90" spans="2:109" ht="20.100000000000001" customHeight="1">
      <c r="B90" s="482"/>
      <c r="C90" s="483"/>
      <c r="D90" s="483"/>
      <c r="E90" s="483"/>
      <c r="F90" s="483"/>
      <c r="G90" s="483"/>
      <c r="H90" s="483"/>
      <c r="I90" s="483"/>
      <c r="J90" s="514"/>
      <c r="K90" s="515"/>
      <c r="L90" s="515"/>
      <c r="M90" s="515"/>
      <c r="N90" s="515"/>
      <c r="O90" s="515"/>
      <c r="P90" s="516"/>
      <c r="Q90" s="483"/>
      <c r="R90" s="483"/>
      <c r="S90" s="483"/>
      <c r="T90" s="463"/>
      <c r="U90" s="464"/>
      <c r="V90" s="464"/>
      <c r="W90" s="464"/>
      <c r="X90" s="464"/>
      <c r="Y90" s="464"/>
      <c r="Z90" s="517"/>
      <c r="AA90" s="506"/>
      <c r="AB90" s="464"/>
      <c r="AC90" s="464"/>
      <c r="AD90" s="464"/>
      <c r="AE90" s="464"/>
      <c r="AF90" s="464"/>
      <c r="AG90" s="464"/>
      <c r="AH90" s="464"/>
      <c r="AI90" s="464"/>
      <c r="AJ90" s="464"/>
      <c r="AK90" s="465"/>
      <c r="AL90" s="483"/>
      <c r="AM90" s="483"/>
      <c r="AN90" s="483"/>
      <c r="AO90" s="483"/>
      <c r="AP90" s="483"/>
      <c r="AQ90" s="483"/>
      <c r="AR90" s="483"/>
      <c r="AS90" s="483"/>
      <c r="AT90" s="483"/>
      <c r="AU90" s="483"/>
      <c r="AV90" s="483"/>
      <c r="AW90" s="483"/>
      <c r="AX90" s="483"/>
      <c r="AY90" s="483"/>
      <c r="AZ90" s="483"/>
      <c r="BA90" s="483"/>
      <c r="BB90" s="493"/>
      <c r="BC90" s="483"/>
      <c r="BD90" s="483"/>
      <c r="BE90" s="483"/>
      <c r="BF90" s="483"/>
      <c r="BG90" s="483"/>
      <c r="BH90" s="483"/>
      <c r="BI90" s="483"/>
      <c r="BJ90" s="483"/>
      <c r="BK90" s="483"/>
      <c r="BL90" s="483"/>
      <c r="BM90" s="483"/>
      <c r="BN90" s="483"/>
      <c r="BO90" s="483"/>
      <c r="BP90" s="483"/>
      <c r="BQ90" s="483"/>
      <c r="BR90" s="483"/>
      <c r="BS90" s="483"/>
      <c r="BT90" s="483"/>
      <c r="BU90" s="483"/>
      <c r="BV90" s="483"/>
      <c r="BW90" s="483"/>
      <c r="BX90" s="483"/>
      <c r="BY90" s="482"/>
      <c r="BZ90" s="483"/>
      <c r="CA90" s="483"/>
      <c r="CB90" s="483"/>
      <c r="CC90" s="483"/>
      <c r="CD90" s="483"/>
      <c r="CE90" s="483"/>
      <c r="CF90" s="483"/>
      <c r="CG90" s="483"/>
      <c r="CH90" s="483"/>
      <c r="CI90" s="483"/>
      <c r="CJ90" s="483"/>
      <c r="CK90" s="483"/>
      <c r="CL90" s="483"/>
      <c r="CM90" s="483"/>
      <c r="CN90" s="483"/>
      <c r="CO90" s="483"/>
      <c r="CP90" s="483"/>
      <c r="CQ90" s="484"/>
      <c r="CR90" s="486"/>
      <c r="CS90" s="38"/>
      <c r="CT90" s="38"/>
      <c r="CU90" s="38"/>
      <c r="CV90" s="38"/>
      <c r="CW90" s="38"/>
      <c r="CY90" s="16" t="s">
        <v>45</v>
      </c>
    </row>
    <row r="91" spans="2:109" ht="20.100000000000001" customHeight="1">
      <c r="B91" s="484"/>
      <c r="C91" s="485"/>
      <c r="D91" s="485"/>
      <c r="E91" s="485"/>
      <c r="F91" s="485"/>
      <c r="G91" s="485"/>
      <c r="H91" s="485"/>
      <c r="I91" s="485"/>
      <c r="J91" s="490"/>
      <c r="K91" s="491"/>
      <c r="L91" s="491"/>
      <c r="M91" s="491"/>
      <c r="N91" s="491"/>
      <c r="O91" s="491"/>
      <c r="P91" s="492"/>
      <c r="Q91" s="485"/>
      <c r="R91" s="485"/>
      <c r="S91" s="485"/>
      <c r="T91" s="485"/>
      <c r="U91" s="485"/>
      <c r="V91" s="485"/>
      <c r="W91" s="485"/>
      <c r="X91" s="485"/>
      <c r="Y91" s="485"/>
      <c r="Z91" s="494"/>
      <c r="AA91" s="485"/>
      <c r="AB91" s="485"/>
      <c r="AC91" s="485"/>
      <c r="AD91" s="485"/>
      <c r="AE91" s="485"/>
      <c r="AF91" s="485"/>
      <c r="AG91" s="485"/>
      <c r="AH91" s="485"/>
      <c r="AI91" s="485"/>
      <c r="AJ91" s="485"/>
      <c r="AK91" s="485"/>
      <c r="AL91" s="485"/>
      <c r="AM91" s="485"/>
      <c r="AN91" s="485"/>
      <c r="AO91" s="485"/>
      <c r="AP91" s="485"/>
      <c r="AQ91" s="485"/>
      <c r="AR91" s="485"/>
      <c r="AS91" s="485"/>
      <c r="AT91" s="485"/>
      <c r="AU91" s="485"/>
      <c r="AV91" s="485"/>
      <c r="AW91" s="485"/>
      <c r="AX91" s="485"/>
      <c r="AY91" s="485"/>
      <c r="AZ91" s="485"/>
      <c r="BA91" s="485"/>
      <c r="BB91" s="494"/>
      <c r="BC91" s="485"/>
      <c r="BD91" s="485"/>
      <c r="BE91" s="485"/>
      <c r="BF91" s="485"/>
      <c r="BG91" s="485"/>
      <c r="BH91" s="485"/>
      <c r="BI91" s="485"/>
      <c r="BJ91" s="485"/>
      <c r="BK91" s="485"/>
      <c r="BL91" s="485"/>
      <c r="BM91" s="485"/>
      <c r="BN91" s="485"/>
      <c r="BO91" s="485"/>
      <c r="BP91" s="485"/>
      <c r="BQ91" s="485"/>
      <c r="BR91" s="485"/>
      <c r="BS91" s="485"/>
      <c r="BT91" s="485"/>
      <c r="BU91" s="485"/>
      <c r="BV91" s="485"/>
      <c r="BW91" s="485"/>
      <c r="BX91" s="485"/>
      <c r="BY91" s="484"/>
      <c r="BZ91" s="485"/>
      <c r="CA91" s="485"/>
      <c r="CB91" s="485"/>
      <c r="CC91" s="485"/>
      <c r="CD91" s="485"/>
      <c r="CE91" s="485"/>
      <c r="CF91" s="485"/>
      <c r="CG91" s="485"/>
      <c r="CH91" s="485"/>
      <c r="CI91" s="485"/>
      <c r="CJ91" s="485"/>
      <c r="CK91" s="485"/>
      <c r="CL91" s="485"/>
      <c r="CM91" s="485"/>
      <c r="CN91" s="485"/>
      <c r="CO91" s="485"/>
      <c r="CP91" s="485"/>
      <c r="CQ91" s="484"/>
      <c r="CR91" s="486"/>
      <c r="CS91" s="38"/>
      <c r="CT91" s="38"/>
      <c r="CU91" s="38"/>
      <c r="CV91" s="38"/>
      <c r="CW91" s="38"/>
      <c r="CY91" s="19" t="s">
        <v>31</v>
      </c>
    </row>
    <row r="92" spans="2:109" ht="20.100000000000001" customHeight="1">
      <c r="B92" s="484"/>
      <c r="C92" s="485"/>
      <c r="D92" s="485"/>
      <c r="E92" s="485"/>
      <c r="F92" s="485"/>
      <c r="G92" s="485"/>
      <c r="H92" s="485"/>
      <c r="I92" s="485"/>
      <c r="J92" s="485"/>
      <c r="K92" s="485"/>
      <c r="L92" s="485"/>
      <c r="M92" s="485"/>
      <c r="N92" s="485"/>
      <c r="O92" s="485"/>
      <c r="P92" s="485"/>
      <c r="Q92" s="485"/>
      <c r="R92" s="485"/>
      <c r="S92" s="485"/>
      <c r="T92" s="485"/>
      <c r="U92" s="485"/>
      <c r="V92" s="485"/>
      <c r="W92" s="485"/>
      <c r="X92" s="485"/>
      <c r="Y92" s="485"/>
      <c r="Z92" s="494"/>
      <c r="AA92" s="485"/>
      <c r="AB92" s="485"/>
      <c r="AC92" s="485"/>
      <c r="AD92" s="485"/>
      <c r="AE92" s="485"/>
      <c r="AF92" s="485"/>
      <c r="AG92" s="485"/>
      <c r="AH92" s="485"/>
      <c r="AI92" s="485"/>
      <c r="AJ92" s="485"/>
      <c r="AK92" s="485"/>
      <c r="AL92" s="485"/>
      <c r="AM92" s="485"/>
      <c r="AN92" s="485"/>
      <c r="AO92" s="485"/>
      <c r="AP92" s="485"/>
      <c r="AQ92" s="485"/>
      <c r="AR92" s="485"/>
      <c r="AS92" s="485"/>
      <c r="AT92" s="485"/>
      <c r="AU92" s="485"/>
      <c r="AV92" s="485"/>
      <c r="AW92" s="485"/>
      <c r="AX92" s="485"/>
      <c r="AY92" s="485"/>
      <c r="AZ92" s="485"/>
      <c r="BA92" s="485"/>
      <c r="BB92" s="494"/>
      <c r="BC92" s="485"/>
      <c r="BD92" s="485"/>
      <c r="BE92" s="485"/>
      <c r="BF92" s="485"/>
      <c r="BG92" s="485"/>
      <c r="BH92" s="485"/>
      <c r="BI92" s="485"/>
      <c r="BJ92" s="485"/>
      <c r="BK92" s="485"/>
      <c r="BL92" s="485"/>
      <c r="BM92" s="485"/>
      <c r="BN92" s="485"/>
      <c r="BO92" s="485"/>
      <c r="BP92" s="485"/>
      <c r="BQ92" s="485"/>
      <c r="BR92" s="485"/>
      <c r="BS92" s="485"/>
      <c r="BT92" s="485"/>
      <c r="BU92" s="485"/>
      <c r="BV92" s="485"/>
      <c r="BW92" s="485"/>
      <c r="BX92" s="485"/>
      <c r="BY92" s="484"/>
      <c r="BZ92" s="485"/>
      <c r="CA92" s="485"/>
      <c r="CB92" s="485"/>
      <c r="CC92" s="485"/>
      <c r="CD92" s="485"/>
      <c r="CE92" s="485"/>
      <c r="CF92" s="485"/>
      <c r="CG92" s="485"/>
      <c r="CH92" s="485"/>
      <c r="CI92" s="485"/>
      <c r="CJ92" s="485"/>
      <c r="CK92" s="485"/>
      <c r="CL92" s="485"/>
      <c r="CM92" s="485"/>
      <c r="CN92" s="485"/>
      <c r="CO92" s="485"/>
      <c r="CP92" s="485"/>
      <c r="CQ92" s="484"/>
      <c r="CR92" s="486"/>
      <c r="CS92" s="38"/>
      <c r="CT92" s="38"/>
      <c r="CU92" s="38"/>
      <c r="CV92" s="38"/>
      <c r="CW92" s="38"/>
      <c r="CY92" s="18" t="s">
        <v>32</v>
      </c>
    </row>
    <row r="93" spans="2:109" ht="20.100000000000001" customHeight="1" thickBot="1">
      <c r="B93" s="484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94"/>
      <c r="AA93" s="485"/>
      <c r="AB93" s="485"/>
      <c r="AC93" s="487"/>
      <c r="AD93" s="488"/>
      <c r="AE93" s="488"/>
      <c r="AF93" s="488"/>
      <c r="AG93" s="488"/>
      <c r="AH93" s="488"/>
      <c r="AI93" s="488"/>
      <c r="AJ93" s="488"/>
      <c r="AK93" s="488"/>
      <c r="AL93" s="488"/>
      <c r="AM93" s="488"/>
      <c r="AN93" s="489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494"/>
      <c r="BC93" s="485"/>
      <c r="BD93" s="485"/>
      <c r="BE93" s="485"/>
      <c r="BF93" s="485"/>
      <c r="BG93" s="485"/>
      <c r="BH93" s="487"/>
      <c r="BI93" s="488"/>
      <c r="BJ93" s="488"/>
      <c r="BK93" s="488"/>
      <c r="BL93" s="488"/>
      <c r="BM93" s="488"/>
      <c r="BN93" s="488"/>
      <c r="BO93" s="488"/>
      <c r="BP93" s="488"/>
      <c r="BQ93" s="488"/>
      <c r="BR93" s="488"/>
      <c r="BS93" s="489"/>
      <c r="BT93" s="485"/>
      <c r="BU93" s="485"/>
      <c r="BV93" s="485"/>
      <c r="BW93" s="485"/>
      <c r="BX93" s="485"/>
      <c r="BY93" s="484"/>
      <c r="BZ93" s="485"/>
      <c r="CA93" s="485"/>
      <c r="CB93" s="485"/>
      <c r="CC93" s="485"/>
      <c r="CD93" s="485"/>
      <c r="CE93" s="485"/>
      <c r="CF93" s="485"/>
      <c r="CG93" s="485"/>
      <c r="CH93" s="485"/>
      <c r="CI93" s="485"/>
      <c r="CJ93" s="485"/>
      <c r="CK93" s="485"/>
      <c r="CL93" s="485"/>
      <c r="CM93" s="485"/>
      <c r="CN93" s="485"/>
      <c r="CO93" s="485"/>
      <c r="CP93" s="485"/>
      <c r="CQ93" s="484"/>
      <c r="CR93" s="486"/>
      <c r="CS93" s="38"/>
      <c r="CT93" s="38"/>
      <c r="CU93" s="38"/>
      <c r="CV93" s="38"/>
      <c r="CW93" s="38"/>
      <c r="CY93" s="19" t="s">
        <v>33</v>
      </c>
    </row>
    <row r="94" spans="2:109" ht="20.100000000000001" customHeight="1" thickTop="1" thickBot="1">
      <c r="B94" s="484"/>
      <c r="C94" s="485"/>
      <c r="D94" s="485"/>
      <c r="E94" s="485"/>
      <c r="F94" s="485"/>
      <c r="G94" s="485"/>
      <c r="H94" s="485"/>
      <c r="I94" s="485"/>
      <c r="J94" s="485"/>
      <c r="K94" s="485"/>
      <c r="L94" s="485"/>
      <c r="M94" s="485"/>
      <c r="N94" s="485"/>
      <c r="O94" s="485"/>
      <c r="P94" s="485"/>
      <c r="Q94" s="485"/>
      <c r="R94" s="485"/>
      <c r="S94" s="485"/>
      <c r="T94" s="485"/>
      <c r="U94" s="485"/>
      <c r="V94" s="485"/>
      <c r="W94" s="485"/>
      <c r="X94" s="485"/>
      <c r="Y94" s="485"/>
      <c r="Z94" s="494"/>
      <c r="AA94" s="485"/>
      <c r="AB94" s="485"/>
      <c r="AC94" s="518"/>
      <c r="AD94" s="519"/>
      <c r="AE94" s="519"/>
      <c r="AF94" s="519"/>
      <c r="AG94" s="519"/>
      <c r="AH94" s="519"/>
      <c r="AI94" s="519"/>
      <c r="AJ94" s="519"/>
      <c r="AK94" s="519"/>
      <c r="AL94" s="519"/>
      <c r="AM94" s="519"/>
      <c r="AN94" s="520"/>
      <c r="AO94" s="485"/>
      <c r="AP94" s="485"/>
      <c r="AQ94" s="485"/>
      <c r="AR94" s="485"/>
      <c r="AS94" s="485"/>
      <c r="AT94" s="485"/>
      <c r="AU94" s="485"/>
      <c r="AV94" s="485"/>
      <c r="AW94" s="485"/>
      <c r="AX94" s="485"/>
      <c r="AY94" s="485"/>
      <c r="AZ94" s="485"/>
      <c r="BA94" s="485"/>
      <c r="BB94" s="494"/>
      <c r="BC94" s="485"/>
      <c r="BD94" s="485"/>
      <c r="BE94" s="485"/>
      <c r="BF94" s="485"/>
      <c r="BG94" s="485"/>
      <c r="BH94" s="518"/>
      <c r="BI94" s="519"/>
      <c r="BJ94" s="519"/>
      <c r="BK94" s="519"/>
      <c r="BL94" s="519"/>
      <c r="BM94" s="519"/>
      <c r="BN94" s="519"/>
      <c r="BO94" s="519"/>
      <c r="BP94" s="519"/>
      <c r="BQ94" s="519"/>
      <c r="BR94" s="519"/>
      <c r="BS94" s="520"/>
      <c r="BT94" s="485"/>
      <c r="BU94" s="485"/>
      <c r="BV94" s="485"/>
      <c r="BW94" s="485"/>
      <c r="BX94" s="485"/>
      <c r="BY94" s="484"/>
      <c r="BZ94" s="485"/>
      <c r="CA94" s="485"/>
      <c r="CB94" s="485"/>
      <c r="CC94" s="485"/>
      <c r="CD94" s="485"/>
      <c r="CE94" s="485"/>
      <c r="CF94" s="485"/>
      <c r="CG94" s="485"/>
      <c r="CH94" s="485"/>
      <c r="CI94" s="485"/>
      <c r="CJ94" s="485"/>
      <c r="CK94" s="485"/>
      <c r="CL94" s="485"/>
      <c r="CM94" s="485"/>
      <c r="CN94" s="485"/>
      <c r="CO94" s="485"/>
      <c r="CP94" s="485"/>
      <c r="CQ94" s="484"/>
      <c r="CR94" s="486"/>
      <c r="CS94" s="38"/>
      <c r="CT94" s="38"/>
      <c r="CU94" s="38"/>
      <c r="CV94" s="38"/>
      <c r="CW94" s="38"/>
      <c r="CY94" s="64">
        <f>DC94</f>
        <v>0</v>
      </c>
      <c r="CZ94" s="65"/>
      <c r="DA94" s="65"/>
      <c r="DB94" s="66"/>
      <c r="DC94" s="29">
        <f t="array" ref="DC94:DC95">TRANSPOSE(TotalUnitsAndWeightsSum(DECK5))</f>
        <v>0</v>
      </c>
    </row>
    <row r="95" spans="2:109" ht="20.100000000000001" customHeight="1" thickTop="1" thickBot="1">
      <c r="B95" s="484"/>
      <c r="C95" s="485"/>
      <c r="D95" s="485"/>
      <c r="E95" s="485"/>
      <c r="F95" s="485"/>
      <c r="G95" s="485"/>
      <c r="H95" s="485"/>
      <c r="I95" s="485"/>
      <c r="J95" s="485"/>
      <c r="K95" s="485"/>
      <c r="L95" s="485"/>
      <c r="M95" s="485"/>
      <c r="N95" s="485"/>
      <c r="O95" s="485"/>
      <c r="P95" s="485"/>
      <c r="Q95" s="485"/>
      <c r="R95" s="485"/>
      <c r="S95" s="485"/>
      <c r="T95" s="485"/>
      <c r="U95" s="485"/>
      <c r="V95" s="485"/>
      <c r="W95" s="485"/>
      <c r="X95" s="485"/>
      <c r="Y95" s="485"/>
      <c r="Z95" s="494"/>
      <c r="AA95" s="485"/>
      <c r="AB95" s="485"/>
      <c r="AC95" s="490"/>
      <c r="AD95" s="491"/>
      <c r="AE95" s="491"/>
      <c r="AF95" s="491"/>
      <c r="AG95" s="491"/>
      <c r="AH95" s="491"/>
      <c r="AI95" s="491"/>
      <c r="AJ95" s="491"/>
      <c r="AK95" s="491"/>
      <c r="AL95" s="491"/>
      <c r="AM95" s="491"/>
      <c r="AN95" s="492"/>
      <c r="AO95" s="485"/>
      <c r="AP95" s="485"/>
      <c r="AQ95" s="485"/>
      <c r="AR95" s="485"/>
      <c r="AS95" s="485"/>
      <c r="AT95" s="485"/>
      <c r="AU95" s="485"/>
      <c r="AV95" s="485"/>
      <c r="AW95" s="485"/>
      <c r="AX95" s="485"/>
      <c r="AY95" s="485"/>
      <c r="AZ95" s="485"/>
      <c r="BA95" s="485"/>
      <c r="BB95" s="494"/>
      <c r="BC95" s="485"/>
      <c r="BD95" s="485"/>
      <c r="BE95" s="485"/>
      <c r="BF95" s="485"/>
      <c r="BG95" s="485"/>
      <c r="BH95" s="490"/>
      <c r="BI95" s="491"/>
      <c r="BJ95" s="491"/>
      <c r="BK95" s="491"/>
      <c r="BL95" s="491"/>
      <c r="BM95" s="491"/>
      <c r="BN95" s="491"/>
      <c r="BO95" s="491"/>
      <c r="BP95" s="491"/>
      <c r="BQ95" s="491"/>
      <c r="BR95" s="491"/>
      <c r="BS95" s="492"/>
      <c r="BT95" s="485"/>
      <c r="BU95" s="485"/>
      <c r="BV95" s="485"/>
      <c r="BW95" s="485"/>
      <c r="BX95" s="485"/>
      <c r="BY95" s="484"/>
      <c r="BZ95" s="485"/>
      <c r="CA95" s="485"/>
      <c r="CB95" s="485"/>
      <c r="CC95" s="485"/>
      <c r="CD95" s="485"/>
      <c r="CE95" s="485"/>
      <c r="CF95" s="485"/>
      <c r="CG95" s="485"/>
      <c r="CH95" s="485"/>
      <c r="CI95" s="485"/>
      <c r="CJ95" s="485"/>
      <c r="CK95" s="485"/>
      <c r="CL95" s="485"/>
      <c r="CM95" s="485"/>
      <c r="CN95" s="485"/>
      <c r="CO95" s="485"/>
      <c r="CP95" s="485"/>
      <c r="CQ95" s="484"/>
      <c r="CR95" s="486"/>
      <c r="CS95" s="38"/>
      <c r="CT95" s="38"/>
      <c r="CU95" s="38"/>
      <c r="CV95" s="38"/>
      <c r="CW95" s="38"/>
      <c r="CY95" s="67">
        <f>DC95</f>
        <v>0</v>
      </c>
      <c r="CZ95" s="68"/>
      <c r="DA95" s="68"/>
      <c r="DB95" s="69"/>
      <c r="DC95" s="29">
        <v>0</v>
      </c>
    </row>
    <row r="96" spans="2:109" ht="20.100000000000001" customHeight="1" thickTop="1">
      <c r="B96" s="484"/>
      <c r="C96" s="485"/>
      <c r="D96" s="485"/>
      <c r="E96" s="485"/>
      <c r="F96" s="485"/>
      <c r="G96" s="485"/>
      <c r="H96" s="485"/>
      <c r="I96" s="485"/>
      <c r="J96" s="485"/>
      <c r="K96" s="485"/>
      <c r="L96" s="485"/>
      <c r="M96" s="485"/>
      <c r="N96" s="485"/>
      <c r="O96" s="485"/>
      <c r="P96" s="485"/>
      <c r="Q96" s="485"/>
      <c r="R96" s="485"/>
      <c r="S96" s="485"/>
      <c r="T96" s="485"/>
      <c r="U96" s="485"/>
      <c r="V96" s="485"/>
      <c r="W96" s="485"/>
      <c r="X96" s="485"/>
      <c r="Y96" s="485"/>
      <c r="Z96" s="494"/>
      <c r="AA96" s="485"/>
      <c r="AB96" s="485"/>
      <c r="AC96" s="485"/>
      <c r="AD96" s="485"/>
      <c r="AE96" s="485"/>
      <c r="AF96" s="485"/>
      <c r="AG96" s="485"/>
      <c r="AH96" s="521"/>
      <c r="AI96" s="485"/>
      <c r="AJ96" s="485"/>
      <c r="AK96" s="485"/>
      <c r="AL96" s="485"/>
      <c r="AM96" s="485"/>
      <c r="AN96" s="485"/>
      <c r="AO96" s="522"/>
      <c r="AP96" s="522"/>
      <c r="AQ96" s="522"/>
      <c r="AR96" s="523"/>
      <c r="AS96" s="485"/>
      <c r="AT96" s="485"/>
      <c r="AU96" s="485"/>
      <c r="AV96" s="485"/>
      <c r="AW96" s="485"/>
      <c r="AX96" s="485"/>
      <c r="AY96" s="485"/>
      <c r="AZ96" s="485"/>
      <c r="BA96" s="485"/>
      <c r="BB96" s="494"/>
      <c r="BC96" s="485"/>
      <c r="BD96" s="485"/>
      <c r="BE96" s="485"/>
      <c r="BF96" s="485"/>
      <c r="BG96" s="485"/>
      <c r="BH96" s="485"/>
      <c r="BI96" s="524"/>
      <c r="BJ96" s="522"/>
      <c r="BK96" s="522"/>
      <c r="BL96" s="522"/>
      <c r="BM96" s="522"/>
      <c r="BN96" s="522"/>
      <c r="BO96" s="522"/>
      <c r="BP96" s="522"/>
      <c r="BQ96" s="522"/>
      <c r="BR96" s="522"/>
      <c r="BS96" s="523"/>
      <c r="BT96" s="485"/>
      <c r="BU96" s="485"/>
      <c r="BV96" s="485"/>
      <c r="BW96" s="485"/>
      <c r="BX96" s="485"/>
      <c r="BY96" s="484"/>
      <c r="BZ96" s="485"/>
      <c r="CA96" s="485"/>
      <c r="CB96" s="485"/>
      <c r="CC96" s="485"/>
      <c r="CD96" s="485"/>
      <c r="CE96" s="485"/>
      <c r="CF96" s="485"/>
      <c r="CG96" s="485"/>
      <c r="CH96" s="485"/>
      <c r="CI96" s="485"/>
      <c r="CJ96" s="485"/>
      <c r="CK96" s="485"/>
      <c r="CL96" s="485"/>
      <c r="CM96" s="485"/>
      <c r="CN96" s="485"/>
      <c r="CO96" s="485"/>
      <c r="CP96" s="485"/>
      <c r="CQ96" s="484"/>
      <c r="CR96" s="486"/>
      <c r="CS96" s="38"/>
      <c r="CT96" s="38"/>
      <c r="CU96" s="38"/>
      <c r="CV96" s="38"/>
      <c r="CW96" s="38"/>
      <c r="CY96" s="13" t="s">
        <v>34</v>
      </c>
    </row>
    <row r="97" spans="2:107" ht="20.100000000000001" customHeight="1">
      <c r="B97" s="484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94"/>
      <c r="AA97" s="485"/>
      <c r="AB97" s="485"/>
      <c r="AC97" s="485"/>
      <c r="AD97" s="485"/>
      <c r="AE97" s="485"/>
      <c r="AF97" s="485"/>
      <c r="AG97" s="485"/>
      <c r="AH97" s="521"/>
      <c r="AI97" s="485"/>
      <c r="AJ97" s="485"/>
      <c r="AK97" s="485"/>
      <c r="AL97" s="485"/>
      <c r="AM97" s="485"/>
      <c r="AN97" s="485"/>
      <c r="AO97" s="485"/>
      <c r="AP97" s="485"/>
      <c r="AQ97" s="485"/>
      <c r="AR97" s="525"/>
      <c r="AS97" s="485"/>
      <c r="AT97" s="485"/>
      <c r="AU97" s="485"/>
      <c r="AV97" s="485"/>
      <c r="AW97" s="485"/>
      <c r="AX97" s="485"/>
      <c r="AY97" s="485"/>
      <c r="AZ97" s="485"/>
      <c r="BA97" s="485"/>
      <c r="BB97" s="494"/>
      <c r="BC97" s="485"/>
      <c r="BD97" s="485"/>
      <c r="BE97" s="485"/>
      <c r="BF97" s="485"/>
      <c r="BG97" s="485"/>
      <c r="BH97" s="485"/>
      <c r="BI97" s="521"/>
      <c r="BJ97" s="485"/>
      <c r="BK97" s="485"/>
      <c r="BL97" s="485"/>
      <c r="BM97" s="485"/>
      <c r="BN97" s="485"/>
      <c r="BO97" s="485"/>
      <c r="BP97" s="485"/>
      <c r="BQ97" s="485"/>
      <c r="BR97" s="485"/>
      <c r="BS97" s="525"/>
      <c r="BT97" s="485"/>
      <c r="BU97" s="485"/>
      <c r="BV97" s="485"/>
      <c r="BW97" s="485"/>
      <c r="BX97" s="485"/>
      <c r="BY97" s="484"/>
      <c r="BZ97" s="485"/>
      <c r="CA97" s="485"/>
      <c r="CB97" s="485"/>
      <c r="CC97" s="485"/>
      <c r="CD97" s="485"/>
      <c r="CE97" s="485"/>
      <c r="CF97" s="485"/>
      <c r="CG97" s="485"/>
      <c r="CH97" s="485"/>
      <c r="CI97" s="485"/>
      <c r="CJ97" s="485"/>
      <c r="CK97" s="485"/>
      <c r="CL97" s="485"/>
      <c r="CM97" s="485"/>
      <c r="CN97" s="485"/>
      <c r="CO97" s="485"/>
      <c r="CP97" s="485"/>
      <c r="CQ97" s="484"/>
      <c r="CR97" s="486"/>
      <c r="CS97" s="38"/>
      <c r="CT97" s="38"/>
      <c r="CU97" s="38"/>
      <c r="CV97" s="38"/>
      <c r="CW97" s="38"/>
      <c r="CY97" s="14" t="s">
        <v>35</v>
      </c>
    </row>
    <row r="98" spans="2:107" ht="20.100000000000001" customHeight="1" thickBot="1">
      <c r="B98" s="484"/>
      <c r="C98" s="485"/>
      <c r="D98" s="485"/>
      <c r="E98" s="485"/>
      <c r="F98" s="485"/>
      <c r="G98" s="485"/>
      <c r="H98" s="485"/>
      <c r="I98" s="485"/>
      <c r="J98" s="485"/>
      <c r="K98" s="485"/>
      <c r="L98" s="485"/>
      <c r="M98" s="485"/>
      <c r="N98" s="485"/>
      <c r="O98" s="485"/>
      <c r="P98" s="485"/>
      <c r="Q98" s="485"/>
      <c r="R98" s="485"/>
      <c r="S98" s="485"/>
      <c r="T98" s="485"/>
      <c r="U98" s="485"/>
      <c r="V98" s="485"/>
      <c r="W98" s="485"/>
      <c r="X98" s="485"/>
      <c r="Y98" s="485"/>
      <c r="Z98" s="494"/>
      <c r="AA98" s="485"/>
      <c r="AB98" s="485"/>
      <c r="AC98" s="485"/>
      <c r="AD98" s="485"/>
      <c r="AE98" s="485"/>
      <c r="AF98" s="485"/>
      <c r="AG98" s="485"/>
      <c r="AH98" s="526"/>
      <c r="AI98" s="527"/>
      <c r="AJ98" s="527"/>
      <c r="AK98" s="527"/>
      <c r="AL98" s="527"/>
      <c r="AM98" s="527"/>
      <c r="AN98" s="527"/>
      <c r="AO98" s="527"/>
      <c r="AP98" s="527"/>
      <c r="AQ98" s="527"/>
      <c r="AR98" s="528"/>
      <c r="AS98" s="485"/>
      <c r="AT98" s="485"/>
      <c r="AU98" s="485"/>
      <c r="AV98" s="485"/>
      <c r="AW98" s="485"/>
      <c r="AX98" s="485"/>
      <c r="AY98" s="485"/>
      <c r="AZ98" s="485"/>
      <c r="BA98" s="485"/>
      <c r="BB98" s="494"/>
      <c r="BC98" s="485"/>
      <c r="BD98" s="485"/>
      <c r="BE98" s="485"/>
      <c r="BF98" s="485"/>
      <c r="BG98" s="485"/>
      <c r="BH98" s="485"/>
      <c r="BI98" s="526"/>
      <c r="BJ98" s="527"/>
      <c r="BK98" s="527"/>
      <c r="BL98" s="527"/>
      <c r="BM98" s="527"/>
      <c r="BN98" s="527"/>
      <c r="BO98" s="527"/>
      <c r="BP98" s="527"/>
      <c r="BQ98" s="527"/>
      <c r="BR98" s="527"/>
      <c r="BS98" s="528"/>
      <c r="BT98" s="485"/>
      <c r="BU98" s="485"/>
      <c r="BV98" s="485"/>
      <c r="BW98" s="485"/>
      <c r="BX98" s="485"/>
      <c r="BY98" s="484"/>
      <c r="BZ98" s="485"/>
      <c r="CA98" s="485"/>
      <c r="CB98" s="485"/>
      <c r="CC98" s="485"/>
      <c r="CD98" s="485"/>
      <c r="CE98" s="485"/>
      <c r="CF98" s="485"/>
      <c r="CG98" s="485"/>
      <c r="CH98" s="485"/>
      <c r="CI98" s="485"/>
      <c r="CJ98" s="485"/>
      <c r="CK98" s="485"/>
      <c r="CL98" s="485"/>
      <c r="CM98" s="485"/>
      <c r="CN98" s="485"/>
      <c r="CO98" s="485"/>
      <c r="CP98" s="494"/>
      <c r="CQ98" s="484"/>
      <c r="CR98" s="486"/>
      <c r="CS98" s="38"/>
      <c r="CT98" s="38"/>
      <c r="CU98" s="38"/>
      <c r="CV98" s="38"/>
      <c r="CW98" s="38"/>
    </row>
    <row r="99" spans="2:107" ht="20.100000000000001" customHeight="1">
      <c r="B99" s="484"/>
      <c r="C99" s="485"/>
      <c r="D99" s="485"/>
      <c r="E99" s="485"/>
      <c r="F99" s="485"/>
      <c r="G99" s="485"/>
      <c r="H99" s="485"/>
      <c r="I99" s="485"/>
      <c r="J99" s="485"/>
      <c r="K99" s="485"/>
      <c r="L99" s="485"/>
      <c r="M99" s="485"/>
      <c r="N99" s="485"/>
      <c r="O99" s="485"/>
      <c r="P99" s="485"/>
      <c r="Q99" s="485"/>
      <c r="R99" s="485"/>
      <c r="S99" s="485"/>
      <c r="T99" s="485"/>
      <c r="U99" s="485"/>
      <c r="V99" s="485"/>
      <c r="W99" s="485"/>
      <c r="X99" s="485"/>
      <c r="Y99" s="485"/>
      <c r="Z99" s="494"/>
      <c r="AA99" s="485"/>
      <c r="AB99" s="485"/>
      <c r="AC99" s="485"/>
      <c r="AD99" s="485"/>
      <c r="AE99" s="485"/>
      <c r="AF99" s="485"/>
      <c r="AG99" s="485"/>
      <c r="AH99" s="485"/>
      <c r="AI99" s="485"/>
      <c r="AJ99" s="485"/>
      <c r="AK99" s="485"/>
      <c r="AL99" s="485"/>
      <c r="AM99" s="485"/>
      <c r="AN99" s="485"/>
      <c r="AO99" s="485"/>
      <c r="AP99" s="485"/>
      <c r="AQ99" s="485"/>
      <c r="AR99" s="485"/>
      <c r="AS99" s="485"/>
      <c r="AT99" s="485"/>
      <c r="AU99" s="485"/>
      <c r="AV99" s="485"/>
      <c r="AW99" s="485"/>
      <c r="AX99" s="485"/>
      <c r="AY99" s="485"/>
      <c r="AZ99" s="485"/>
      <c r="BA99" s="485"/>
      <c r="BB99" s="494"/>
      <c r="BC99" s="485"/>
      <c r="BD99" s="485"/>
      <c r="BE99" s="485"/>
      <c r="BF99" s="485"/>
      <c r="BG99" s="485"/>
      <c r="BH99" s="485"/>
      <c r="BI99" s="485"/>
      <c r="BJ99" s="485"/>
      <c r="BK99" s="485"/>
      <c r="BL99" s="485"/>
      <c r="BM99" s="485"/>
      <c r="BN99" s="485"/>
      <c r="BO99" s="485"/>
      <c r="BP99" s="485"/>
      <c r="BQ99" s="485"/>
      <c r="BR99" s="485"/>
      <c r="BS99" s="485"/>
      <c r="BT99" s="485"/>
      <c r="BU99" s="485"/>
      <c r="BV99" s="485"/>
      <c r="BW99" s="485"/>
      <c r="BX99" s="485"/>
      <c r="BY99" s="484"/>
      <c r="BZ99" s="485"/>
      <c r="CA99" s="485"/>
      <c r="CB99" s="485"/>
      <c r="CC99" s="485"/>
      <c r="CD99" s="485"/>
      <c r="CE99" s="485"/>
      <c r="CF99" s="485"/>
      <c r="CG99" s="485"/>
      <c r="CH99" s="485"/>
      <c r="CI99" s="485"/>
      <c r="CJ99" s="485"/>
      <c r="CK99" s="485"/>
      <c r="CL99" s="485"/>
      <c r="CM99" s="485"/>
      <c r="CN99" s="485"/>
      <c r="CO99" s="485"/>
      <c r="CP99" s="494"/>
      <c r="CQ99" s="484"/>
      <c r="CR99" s="486"/>
      <c r="CS99" s="38"/>
      <c r="CT99" s="38"/>
      <c r="CU99" s="38"/>
      <c r="CV99" s="38"/>
      <c r="CW99" s="38"/>
    </row>
    <row r="100" spans="2:107" ht="20.100000000000001" customHeight="1">
      <c r="B100" s="484"/>
      <c r="C100" s="485"/>
      <c r="D100" s="485"/>
      <c r="E100" s="485"/>
      <c r="F100" s="485"/>
      <c r="G100" s="485"/>
      <c r="H100" s="485"/>
      <c r="I100" s="485"/>
      <c r="J100" s="485"/>
      <c r="K100" s="485"/>
      <c r="L100" s="485"/>
      <c r="M100" s="485"/>
      <c r="N100" s="485"/>
      <c r="O100" s="485"/>
      <c r="P100" s="485"/>
      <c r="Q100" s="485"/>
      <c r="R100" s="485"/>
      <c r="S100" s="485"/>
      <c r="T100" s="485"/>
      <c r="U100" s="485"/>
      <c r="V100" s="485"/>
      <c r="W100" s="485"/>
      <c r="X100" s="485"/>
      <c r="Y100" s="487"/>
      <c r="Z100" s="529"/>
      <c r="AA100" s="485"/>
      <c r="AB100" s="485"/>
      <c r="AC100" s="485"/>
      <c r="AD100" s="485"/>
      <c r="AE100" s="485"/>
      <c r="AF100" s="485"/>
      <c r="AG100" s="485"/>
      <c r="AH100" s="485"/>
      <c r="AI100" s="485"/>
      <c r="AJ100" s="485"/>
      <c r="AK100" s="485"/>
      <c r="AL100" s="485"/>
      <c r="AM100" s="485"/>
      <c r="AN100" s="485"/>
      <c r="AO100" s="485"/>
      <c r="AP100" s="485"/>
      <c r="AQ100" s="485"/>
      <c r="AR100" s="485"/>
      <c r="AS100" s="485"/>
      <c r="AT100" s="485"/>
      <c r="AU100" s="485"/>
      <c r="AV100" s="485"/>
      <c r="AW100" s="485"/>
      <c r="AX100" s="485"/>
      <c r="AY100" s="485"/>
      <c r="AZ100" s="485"/>
      <c r="BA100" s="485"/>
      <c r="BB100" s="494"/>
      <c r="BC100" s="485"/>
      <c r="BD100" s="485"/>
      <c r="BE100" s="485"/>
      <c r="BF100" s="485"/>
      <c r="BG100" s="485"/>
      <c r="BH100" s="485"/>
      <c r="BI100" s="485"/>
      <c r="BJ100" s="485"/>
      <c r="BK100" s="485"/>
      <c r="BL100" s="485"/>
      <c r="BM100" s="485"/>
      <c r="BN100" s="485"/>
      <c r="BO100" s="485"/>
      <c r="BP100" s="485"/>
      <c r="BQ100" s="485"/>
      <c r="BR100" s="485"/>
      <c r="BS100" s="485"/>
      <c r="BT100" s="485"/>
      <c r="BU100" s="485"/>
      <c r="BV100" s="485"/>
      <c r="BW100" s="485"/>
      <c r="BX100" s="485"/>
      <c r="BY100" s="484"/>
      <c r="BZ100" s="485"/>
      <c r="CA100" s="485"/>
      <c r="CB100" s="485"/>
      <c r="CC100" s="485"/>
      <c r="CD100" s="485"/>
      <c r="CE100" s="485"/>
      <c r="CF100" s="485"/>
      <c r="CG100" s="485"/>
      <c r="CH100" s="485"/>
      <c r="CI100" s="485"/>
      <c r="CJ100" s="485"/>
      <c r="CK100" s="485"/>
      <c r="CL100" s="485"/>
      <c r="CM100" s="485"/>
      <c r="CN100" s="485"/>
      <c r="CO100" s="485"/>
      <c r="CP100" s="494"/>
      <c r="CQ100" s="484"/>
      <c r="CR100" s="486"/>
      <c r="CS100" s="38"/>
      <c r="CT100" s="38"/>
      <c r="CU100" s="38"/>
      <c r="CV100" s="38"/>
      <c r="CW100" s="38"/>
    </row>
    <row r="101" spans="2:107" ht="20.100000000000001" customHeight="1" thickBot="1">
      <c r="B101" s="530"/>
      <c r="C101" s="531"/>
      <c r="D101" s="531"/>
      <c r="E101" s="531"/>
      <c r="F101" s="531"/>
      <c r="G101" s="531"/>
      <c r="H101" s="531"/>
      <c r="I101" s="531"/>
      <c r="J101" s="531"/>
      <c r="K101" s="531"/>
      <c r="L101" s="531"/>
      <c r="M101" s="531"/>
      <c r="N101" s="531"/>
      <c r="O101" s="531"/>
      <c r="P101" s="531"/>
      <c r="Q101" s="531"/>
      <c r="R101" s="531"/>
      <c r="S101" s="531"/>
      <c r="T101" s="531"/>
      <c r="U101" s="531"/>
      <c r="V101" s="532"/>
      <c r="W101" s="533"/>
      <c r="X101" s="534"/>
      <c r="Y101" s="535"/>
      <c r="Z101" s="536"/>
      <c r="AA101" s="537"/>
      <c r="AB101" s="533"/>
      <c r="AC101" s="533"/>
      <c r="AD101" s="533"/>
      <c r="AE101" s="533"/>
      <c r="AF101" s="533"/>
      <c r="AG101" s="533"/>
      <c r="AH101" s="533"/>
      <c r="AI101" s="534"/>
      <c r="AJ101" s="485"/>
      <c r="AK101" s="485"/>
      <c r="AL101" s="485"/>
      <c r="AM101" s="485"/>
      <c r="AN101" s="485"/>
      <c r="AO101" s="485"/>
      <c r="AP101" s="485"/>
      <c r="AQ101" s="485"/>
      <c r="AR101" s="485"/>
      <c r="AS101" s="485"/>
      <c r="AT101" s="485"/>
      <c r="AU101" s="485"/>
      <c r="AV101" s="485"/>
      <c r="AW101" s="485"/>
      <c r="AX101" s="485"/>
      <c r="AY101" s="485"/>
      <c r="AZ101" s="485"/>
      <c r="BA101" s="485"/>
      <c r="BB101" s="494"/>
      <c r="BC101" s="485"/>
      <c r="BD101" s="485"/>
      <c r="BE101" s="485"/>
      <c r="BF101" s="485"/>
      <c r="BG101" s="485"/>
      <c r="BH101" s="485"/>
      <c r="BI101" s="485"/>
      <c r="BJ101" s="485"/>
      <c r="BK101" s="485"/>
      <c r="BL101" s="485"/>
      <c r="BM101" s="485"/>
      <c r="BN101" s="485"/>
      <c r="BO101" s="485"/>
      <c r="BP101" s="485"/>
      <c r="BQ101" s="485"/>
      <c r="BR101" s="485"/>
      <c r="BS101" s="485"/>
      <c r="BT101" s="485"/>
      <c r="BU101" s="485"/>
      <c r="BV101" s="485"/>
      <c r="BW101" s="485"/>
      <c r="BX101" s="485"/>
      <c r="BY101" s="484"/>
      <c r="BZ101" s="485"/>
      <c r="CA101" s="485"/>
      <c r="CB101" s="485"/>
      <c r="CC101" s="485"/>
      <c r="CD101" s="485"/>
      <c r="CE101" s="485"/>
      <c r="CF101" s="485"/>
      <c r="CG101" s="485"/>
      <c r="CH101" s="485"/>
      <c r="CI101" s="485"/>
      <c r="CJ101" s="485"/>
      <c r="CK101" s="485"/>
      <c r="CL101" s="485"/>
      <c r="CM101" s="485"/>
      <c r="CN101" s="485"/>
      <c r="CO101" s="485"/>
      <c r="CP101" s="494"/>
      <c r="CQ101" s="484"/>
      <c r="CR101" s="486"/>
      <c r="CS101" s="38"/>
      <c r="CT101" s="38"/>
      <c r="CU101" s="38"/>
      <c r="CV101" s="38"/>
      <c r="CW101" s="38"/>
    </row>
    <row r="102" spans="2:107" ht="20.100000000000001" customHeight="1">
      <c r="AA102" s="32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4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2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4"/>
      <c r="CQ102" s="38"/>
      <c r="CR102" s="38"/>
      <c r="CS102" s="38"/>
      <c r="CT102" s="38"/>
      <c r="CU102" s="38"/>
      <c r="CV102" s="38"/>
      <c r="CW102" s="38"/>
      <c r="CY102" s="11" t="s">
        <v>46</v>
      </c>
    </row>
    <row r="103" spans="2:107" ht="20.100000000000001" customHeight="1" thickBot="1">
      <c r="AA103" s="35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7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5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7"/>
      <c r="CQ103" s="38"/>
      <c r="CR103" s="38"/>
      <c r="CS103" s="38"/>
      <c r="CT103" s="38"/>
      <c r="CU103" s="38"/>
      <c r="CV103" s="38"/>
      <c r="CW103" s="38"/>
      <c r="CY103" s="12" t="s">
        <v>23</v>
      </c>
    </row>
    <row r="104" spans="2:107" ht="20.100000000000001" customHeight="1" thickTop="1" thickBot="1">
      <c r="AA104" s="35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7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5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7"/>
      <c r="CQ104" s="38"/>
      <c r="CR104" s="38"/>
      <c r="CS104" s="38"/>
      <c r="CT104" s="38"/>
      <c r="CU104" s="38"/>
      <c r="CV104" s="38"/>
      <c r="CW104" s="38"/>
      <c r="CY104" s="64">
        <f>DC104</f>
        <v>0</v>
      </c>
      <c r="CZ104" s="65"/>
      <c r="DA104" s="65"/>
      <c r="DB104" s="66"/>
      <c r="DC104" s="29">
        <f t="array" ref="DC104:DC105">TRANSPOSE(TotalUnitsAndWeightsSum(DECK4))</f>
        <v>0</v>
      </c>
    </row>
    <row r="105" spans="2:107" ht="20.100000000000001" customHeight="1" thickTop="1" thickBot="1">
      <c r="AA105" s="35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7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5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7"/>
      <c r="CQ105" s="38"/>
      <c r="CR105" s="38"/>
      <c r="CS105" s="38"/>
      <c r="CT105" s="38"/>
      <c r="CU105" s="38"/>
      <c r="CV105" s="38"/>
      <c r="CW105" s="38"/>
      <c r="CY105" s="67">
        <f>DC105</f>
        <v>0</v>
      </c>
      <c r="CZ105" s="68"/>
      <c r="DA105" s="68"/>
      <c r="DB105" s="69"/>
      <c r="DC105" s="29">
        <v>0</v>
      </c>
    </row>
    <row r="106" spans="2:107" ht="20.100000000000001" customHeight="1" thickTop="1">
      <c r="AA106" s="35"/>
      <c r="AB106" s="36"/>
      <c r="AC106" s="36"/>
      <c r="AD106" s="36"/>
      <c r="AE106" s="36"/>
      <c r="AF106" s="36"/>
      <c r="AG106" s="36"/>
      <c r="AH106" s="113"/>
      <c r="AI106" s="114"/>
      <c r="AJ106" s="114"/>
      <c r="AK106" s="114"/>
      <c r="AL106" s="114"/>
      <c r="AM106" s="114"/>
      <c r="AN106" s="114"/>
      <c r="AO106" s="114"/>
      <c r="AP106" s="114"/>
      <c r="AQ106" s="114"/>
      <c r="AR106" s="115"/>
      <c r="AS106" s="36"/>
      <c r="AT106" s="36"/>
      <c r="AU106" s="36"/>
      <c r="AV106" s="36"/>
      <c r="AW106" s="36"/>
      <c r="AX106" s="36"/>
      <c r="AY106" s="36"/>
      <c r="AZ106" s="36"/>
      <c r="BA106" s="36"/>
      <c r="BB106" s="37"/>
      <c r="BC106" s="36"/>
      <c r="BD106" s="36"/>
      <c r="BE106" s="36"/>
      <c r="BF106" s="36"/>
      <c r="BG106" s="36"/>
      <c r="BH106" s="36"/>
      <c r="BI106" s="113"/>
      <c r="BJ106" s="114"/>
      <c r="BK106" s="114"/>
      <c r="BL106" s="114"/>
      <c r="BM106" s="114"/>
      <c r="BN106" s="114"/>
      <c r="BO106" s="114"/>
      <c r="BP106" s="114"/>
      <c r="BQ106" s="114"/>
      <c r="BR106" s="114"/>
      <c r="BS106" s="115"/>
      <c r="BT106" s="36"/>
      <c r="BU106" s="36"/>
      <c r="BV106" s="36"/>
      <c r="BW106" s="36"/>
      <c r="BX106" s="36"/>
      <c r="BY106" s="35"/>
      <c r="BZ106" s="36"/>
      <c r="CA106" s="48"/>
      <c r="CB106" s="48"/>
      <c r="CC106" s="48"/>
      <c r="CD106" s="48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7"/>
      <c r="CQ106" s="38"/>
      <c r="CR106" s="38"/>
      <c r="CS106" s="38"/>
      <c r="CT106" s="38"/>
      <c r="CU106" s="38"/>
      <c r="CV106" s="38"/>
      <c r="CW106" s="38"/>
      <c r="CY106" s="13" t="s">
        <v>24</v>
      </c>
    </row>
    <row r="107" spans="2:107" ht="20.100000000000001" customHeight="1">
      <c r="AA107" s="35"/>
      <c r="AB107" s="36"/>
      <c r="AC107" s="36"/>
      <c r="AD107" s="36"/>
      <c r="AE107" s="36"/>
      <c r="AF107" s="36"/>
      <c r="AG107" s="36"/>
      <c r="AH107" s="116"/>
      <c r="AI107" s="117"/>
      <c r="AJ107" s="117"/>
      <c r="AK107" s="117"/>
      <c r="AL107" s="117"/>
      <c r="AM107" s="117"/>
      <c r="AN107" s="117"/>
      <c r="AO107" s="117"/>
      <c r="AP107" s="117"/>
      <c r="AQ107" s="117"/>
      <c r="AR107" s="118"/>
      <c r="AS107" s="36"/>
      <c r="AT107" s="36"/>
      <c r="AU107" s="36"/>
      <c r="AV107" s="36"/>
      <c r="AW107" s="36"/>
      <c r="AX107" s="36"/>
      <c r="AY107" s="36"/>
      <c r="AZ107" s="36"/>
      <c r="BA107" s="36"/>
      <c r="BB107" s="37"/>
      <c r="BC107" s="36"/>
      <c r="BD107" s="36"/>
      <c r="BE107" s="36"/>
      <c r="BF107" s="36"/>
      <c r="BG107" s="36"/>
      <c r="BH107" s="36"/>
      <c r="BI107" s="116"/>
      <c r="BJ107" s="117"/>
      <c r="BK107" s="117"/>
      <c r="BL107" s="117"/>
      <c r="BM107" s="117"/>
      <c r="BN107" s="117"/>
      <c r="BO107" s="117"/>
      <c r="BP107" s="117"/>
      <c r="BQ107" s="117"/>
      <c r="BR107" s="117"/>
      <c r="BS107" s="118"/>
      <c r="BT107" s="36"/>
      <c r="BU107" s="36"/>
      <c r="BV107" s="36"/>
      <c r="BW107" s="36"/>
      <c r="BX107" s="36"/>
      <c r="BY107" s="35"/>
      <c r="BZ107" s="36"/>
      <c r="CA107" s="48"/>
      <c r="CB107" s="48"/>
      <c r="CC107" s="48"/>
      <c r="CD107" s="48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7"/>
      <c r="CQ107" s="38"/>
      <c r="CR107" s="38"/>
      <c r="CS107" s="38"/>
      <c r="CT107" s="38"/>
      <c r="CU107" s="38"/>
      <c r="CV107" s="38"/>
      <c r="CW107" s="38"/>
      <c r="CY107" s="14" t="s">
        <v>25</v>
      </c>
    </row>
    <row r="108" spans="2:107" ht="20.100000000000001" customHeight="1">
      <c r="AA108" s="35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7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5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7"/>
      <c r="CQ108" s="38"/>
      <c r="CR108" s="38"/>
      <c r="CS108" s="38"/>
      <c r="CT108" s="38"/>
      <c r="CU108" s="38"/>
      <c r="CV108" s="38"/>
      <c r="CW108" s="38"/>
    </row>
    <row r="109" spans="2:107" ht="20.100000000000001" customHeight="1">
      <c r="AA109" s="35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7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5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7"/>
      <c r="CQ109" s="38"/>
      <c r="CR109" s="38"/>
      <c r="CS109" s="38"/>
      <c r="CT109" s="38"/>
      <c r="CU109" s="38"/>
      <c r="CV109" s="38"/>
      <c r="CW109" s="38"/>
    </row>
    <row r="110" spans="2:107" ht="20.100000000000001" customHeight="1" thickBot="1">
      <c r="AA110" s="35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7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5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7"/>
      <c r="CQ110" s="38"/>
      <c r="CR110" s="38"/>
      <c r="CS110" s="38"/>
      <c r="CT110" s="38"/>
      <c r="CU110" s="38"/>
      <c r="CV110" s="38"/>
      <c r="CW110" s="38"/>
    </row>
    <row r="111" spans="2:107" ht="20.100000000000001" customHeight="1">
      <c r="AA111" s="32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4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2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4"/>
      <c r="CL111" s="33"/>
      <c r="CM111" s="33"/>
      <c r="CN111" s="33"/>
      <c r="CO111" s="33"/>
      <c r="CP111" s="33"/>
      <c r="CQ111" s="38"/>
      <c r="CR111" s="38"/>
      <c r="CS111" s="38"/>
      <c r="CT111" s="38"/>
      <c r="CU111" s="38"/>
      <c r="CV111" s="38"/>
      <c r="CW111" s="38"/>
      <c r="CX111" s="4"/>
      <c r="CY111" s="11" t="s">
        <v>47</v>
      </c>
    </row>
    <row r="112" spans="2:107" ht="20.100000000000001" customHeight="1" thickBot="1">
      <c r="AA112" s="35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48"/>
      <c r="AV112" s="48"/>
      <c r="AW112" s="48"/>
      <c r="AX112" s="48"/>
      <c r="AY112" s="36"/>
      <c r="AZ112" s="36"/>
      <c r="BA112" s="36"/>
      <c r="BB112" s="37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5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7"/>
      <c r="CL112" s="36"/>
      <c r="CM112" s="36"/>
      <c r="CN112" s="36"/>
      <c r="CO112" s="36"/>
      <c r="CP112" s="36"/>
      <c r="CQ112" s="38"/>
      <c r="CR112" s="38"/>
      <c r="CS112" s="38"/>
      <c r="CT112" s="38"/>
      <c r="CU112" s="38"/>
      <c r="CV112" s="38"/>
      <c r="CW112" s="38"/>
      <c r="CX112" s="4"/>
      <c r="CY112" s="12" t="s">
        <v>23</v>
      </c>
    </row>
    <row r="113" spans="27:107" ht="20.100000000000001" customHeight="1" thickTop="1" thickBot="1">
      <c r="AA113" s="35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48"/>
      <c r="AV113" s="48"/>
      <c r="AW113" s="48"/>
      <c r="AX113" s="48"/>
      <c r="AY113" s="36"/>
      <c r="AZ113" s="36"/>
      <c r="BA113" s="36"/>
      <c r="BB113" s="37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5"/>
      <c r="BZ113" s="36"/>
      <c r="CA113" s="36"/>
      <c r="CB113" s="48"/>
      <c r="CC113" s="48"/>
      <c r="CD113" s="48"/>
      <c r="CE113" s="48"/>
      <c r="CF113" s="36"/>
      <c r="CG113" s="36"/>
      <c r="CH113" s="36"/>
      <c r="CI113" s="36"/>
      <c r="CJ113" s="36"/>
      <c r="CK113" s="37"/>
      <c r="CL113" s="36"/>
      <c r="CM113" s="36"/>
      <c r="CN113" s="36"/>
      <c r="CO113" s="36"/>
      <c r="CP113" s="36"/>
      <c r="CQ113" s="38"/>
      <c r="CR113" s="38"/>
      <c r="CS113" s="38"/>
      <c r="CT113" s="38"/>
      <c r="CU113" s="38"/>
      <c r="CV113" s="38"/>
      <c r="CW113" s="38"/>
      <c r="CX113" s="4"/>
      <c r="CY113" s="64">
        <f>DC113</f>
        <v>0</v>
      </c>
      <c r="CZ113" s="65"/>
      <c r="DA113" s="65"/>
      <c r="DB113" s="66"/>
      <c r="DC113" s="29">
        <f t="array" ref="DC113:DC114">TRANSPOSE(TotalUnitsAndWeightsSum(DECK3))</f>
        <v>0</v>
      </c>
    </row>
    <row r="114" spans="27:107" ht="20.100000000000001" customHeight="1" thickTop="1" thickBot="1">
      <c r="AA114" s="35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7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5"/>
      <c r="BZ114" s="36"/>
      <c r="CA114" s="36"/>
      <c r="CB114" s="48"/>
      <c r="CC114" s="48"/>
      <c r="CD114" s="48"/>
      <c r="CE114" s="48"/>
      <c r="CF114" s="36"/>
      <c r="CG114" s="36"/>
      <c r="CH114" s="36"/>
      <c r="CI114" s="36"/>
      <c r="CJ114" s="36"/>
      <c r="CK114" s="37"/>
      <c r="CL114" s="36"/>
      <c r="CM114" s="36"/>
      <c r="CN114" s="36"/>
      <c r="CO114" s="36"/>
      <c r="CP114" s="36"/>
      <c r="CQ114" s="38"/>
      <c r="CR114" s="38"/>
      <c r="CS114" s="38"/>
      <c r="CT114" s="38"/>
      <c r="CU114" s="38"/>
      <c r="CV114" s="38"/>
      <c r="CW114" s="38"/>
      <c r="CY114" s="67">
        <f>DC114</f>
        <v>0</v>
      </c>
      <c r="CZ114" s="68"/>
      <c r="DA114" s="68"/>
      <c r="DB114" s="69"/>
      <c r="DC114" s="29">
        <v>0</v>
      </c>
    </row>
    <row r="115" spans="27:107" ht="20.100000000000001" customHeight="1" thickTop="1">
      <c r="AA115" s="35"/>
      <c r="AB115" s="36"/>
      <c r="AC115" s="36"/>
      <c r="AD115" s="36"/>
      <c r="AE115" s="36"/>
      <c r="AF115" s="36"/>
      <c r="AG115" s="36"/>
      <c r="AH115" s="39"/>
      <c r="AI115" s="40"/>
      <c r="AJ115" s="40"/>
      <c r="AK115" s="40"/>
      <c r="AL115" s="40"/>
      <c r="AM115" s="40"/>
      <c r="AN115" s="40"/>
      <c r="AO115" s="40"/>
      <c r="AP115" s="40"/>
      <c r="AQ115" s="40"/>
      <c r="AR115" s="41"/>
      <c r="AS115" s="36"/>
      <c r="AT115" s="36"/>
      <c r="AU115" s="36"/>
      <c r="AV115" s="36"/>
      <c r="AW115" s="36"/>
      <c r="AX115" s="36"/>
      <c r="AY115" s="36"/>
      <c r="AZ115" s="36"/>
      <c r="BA115" s="36"/>
      <c r="BB115" s="37"/>
      <c r="BC115" s="36"/>
      <c r="BD115" s="36"/>
      <c r="BE115" s="36"/>
      <c r="BF115" s="36"/>
      <c r="BG115" s="36"/>
      <c r="BH115" s="36"/>
      <c r="BI115" s="39"/>
      <c r="BJ115" s="40"/>
      <c r="BK115" s="40"/>
      <c r="BL115" s="40"/>
      <c r="BM115" s="40"/>
      <c r="BN115" s="40"/>
      <c r="BO115" s="40"/>
      <c r="BP115" s="40"/>
      <c r="BQ115" s="40"/>
      <c r="BR115" s="40"/>
      <c r="BS115" s="41"/>
      <c r="BT115" s="36"/>
      <c r="BU115" s="36"/>
      <c r="BV115" s="36"/>
      <c r="BW115" s="36"/>
      <c r="BX115" s="36"/>
      <c r="BY115" s="35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7"/>
      <c r="CL115" s="36"/>
      <c r="CM115" s="36"/>
      <c r="CN115" s="36"/>
      <c r="CO115" s="36"/>
      <c r="CP115" s="36"/>
      <c r="CQ115" s="38"/>
      <c r="CR115" s="38"/>
      <c r="CS115" s="38"/>
      <c r="CT115" s="38"/>
      <c r="CU115" s="38"/>
      <c r="CV115" s="38"/>
      <c r="CW115" s="38"/>
      <c r="CY115" s="13" t="s">
        <v>24</v>
      </c>
    </row>
    <row r="116" spans="27:107" ht="20.100000000000001" customHeight="1">
      <c r="AA116" s="35"/>
      <c r="AB116" s="36"/>
      <c r="AC116" s="36"/>
      <c r="AD116" s="36"/>
      <c r="AE116" s="36"/>
      <c r="AF116" s="36"/>
      <c r="AG116" s="36"/>
      <c r="AH116" s="42"/>
      <c r="AI116" s="43"/>
      <c r="AJ116" s="43"/>
      <c r="AK116" s="43"/>
      <c r="AL116" s="43"/>
      <c r="AM116" s="43"/>
      <c r="AN116" s="43"/>
      <c r="AO116" s="43"/>
      <c r="AP116" s="43"/>
      <c r="AQ116" s="43"/>
      <c r="AR116" s="44"/>
      <c r="AS116" s="36"/>
      <c r="AT116" s="36"/>
      <c r="AU116" s="36"/>
      <c r="AV116" s="36"/>
      <c r="AW116" s="36"/>
      <c r="AX116" s="36"/>
      <c r="AY116" s="36"/>
      <c r="AZ116" s="36"/>
      <c r="BA116" s="36"/>
      <c r="BB116" s="37"/>
      <c r="BC116" s="36"/>
      <c r="BD116" s="36"/>
      <c r="BE116" s="36"/>
      <c r="BF116" s="36"/>
      <c r="BG116" s="36"/>
      <c r="BH116" s="36"/>
      <c r="BI116" s="42"/>
      <c r="BJ116" s="43"/>
      <c r="BK116" s="43"/>
      <c r="BL116" s="43"/>
      <c r="BM116" s="43"/>
      <c r="BN116" s="43"/>
      <c r="BO116" s="43"/>
      <c r="BP116" s="43"/>
      <c r="BQ116" s="43"/>
      <c r="BR116" s="43"/>
      <c r="BS116" s="44"/>
      <c r="BT116" s="36"/>
      <c r="BU116" s="36"/>
      <c r="BV116" s="36"/>
      <c r="BW116" s="36"/>
      <c r="BX116" s="36"/>
      <c r="BY116" s="35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7"/>
      <c r="CL116" s="36"/>
      <c r="CM116" s="36"/>
      <c r="CN116" s="36"/>
      <c r="CO116" s="36"/>
      <c r="CP116" s="36"/>
      <c r="CQ116" s="38"/>
      <c r="CR116" s="38"/>
      <c r="CS116" s="38"/>
      <c r="CT116" s="38"/>
      <c r="CU116" s="38"/>
      <c r="CV116" s="38"/>
      <c r="CW116" s="38"/>
      <c r="CY116" s="14" t="s">
        <v>25</v>
      </c>
    </row>
    <row r="117" spans="27:107" ht="20.100000000000001" customHeight="1">
      <c r="AA117" s="35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7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5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7"/>
      <c r="CL117" s="36"/>
      <c r="CM117" s="36"/>
      <c r="CN117" s="36"/>
      <c r="CO117" s="36"/>
      <c r="CP117" s="36"/>
      <c r="CQ117" s="38"/>
      <c r="CR117" s="38"/>
      <c r="CS117" s="38"/>
      <c r="CT117" s="38"/>
      <c r="CU117" s="38"/>
      <c r="CV117" s="38"/>
      <c r="CW117" s="38"/>
    </row>
    <row r="118" spans="27:107" ht="20.100000000000001" customHeight="1">
      <c r="AA118" s="35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7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5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7"/>
      <c r="CL118" s="36"/>
      <c r="CM118" s="36"/>
      <c r="CN118" s="36"/>
      <c r="CO118" s="36"/>
      <c r="CP118" s="36"/>
      <c r="CQ118" s="38"/>
      <c r="CR118" s="38"/>
      <c r="CS118" s="38"/>
      <c r="CT118" s="38"/>
      <c r="CU118" s="38"/>
      <c r="CV118" s="38"/>
      <c r="CW118" s="38"/>
    </row>
    <row r="119" spans="27:107" ht="20.100000000000001" customHeight="1" thickBot="1">
      <c r="AA119" s="35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7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45"/>
      <c r="BZ119" s="46"/>
      <c r="CA119" s="46"/>
      <c r="CB119" s="46"/>
      <c r="CC119" s="46"/>
      <c r="CD119" s="46"/>
      <c r="CE119" s="46"/>
      <c r="CF119" s="46"/>
      <c r="CG119" s="46"/>
      <c r="CH119" s="46"/>
      <c r="CI119" s="46"/>
      <c r="CJ119" s="46"/>
      <c r="CK119" s="47"/>
      <c r="CL119" s="36"/>
      <c r="CM119" s="36"/>
      <c r="CN119" s="36"/>
      <c r="CO119" s="36"/>
      <c r="CP119" s="36"/>
      <c r="CQ119" s="38"/>
      <c r="CR119" s="38"/>
      <c r="CS119" s="38"/>
      <c r="CT119" s="38"/>
      <c r="CU119" s="38"/>
      <c r="CV119" s="38"/>
      <c r="CW119" s="38"/>
    </row>
    <row r="120" spans="27:107" ht="20.100000000000001" customHeight="1">
      <c r="AA120" s="32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4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4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6"/>
      <c r="CM120" s="36"/>
      <c r="CN120" s="36"/>
      <c r="CO120" s="36"/>
      <c r="CP120" s="36"/>
      <c r="CY120" s="11" t="s">
        <v>48</v>
      </c>
    </row>
    <row r="121" spans="27:107" ht="20.100000000000001" customHeight="1" thickBot="1">
      <c r="AA121" s="35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7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7"/>
      <c r="BY121" s="38"/>
      <c r="BZ121" s="38"/>
      <c r="CA121" s="49" t="s">
        <v>37</v>
      </c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6"/>
      <c r="CM121" s="36"/>
      <c r="CN121" s="36"/>
      <c r="CO121" s="36"/>
      <c r="CP121" s="36"/>
      <c r="CY121" s="12" t="s">
        <v>23</v>
      </c>
    </row>
    <row r="122" spans="27:107" ht="20.100000000000001" customHeight="1" thickTop="1" thickBot="1">
      <c r="AA122" s="35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7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7"/>
      <c r="BY122" s="38"/>
      <c r="BZ122" s="38"/>
      <c r="CA122" s="50" t="s">
        <v>38</v>
      </c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6"/>
      <c r="CM122" s="36"/>
      <c r="CN122" s="36"/>
      <c r="CO122" s="36"/>
      <c r="CP122" s="36"/>
      <c r="CY122" s="64">
        <f>DC122</f>
        <v>0</v>
      </c>
      <c r="CZ122" s="65"/>
      <c r="DA122" s="65"/>
      <c r="DB122" s="66"/>
      <c r="DC122" s="29">
        <f t="array" ref="DC122:DC123">TRANSPOSE(TotalUnitsAndWeightsSum(DECK2))</f>
        <v>0</v>
      </c>
    </row>
    <row r="123" spans="27:107" ht="20.100000000000001" customHeight="1" thickTop="1" thickBot="1">
      <c r="AA123" s="35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7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7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6"/>
      <c r="CM123" s="36"/>
      <c r="CN123" s="36"/>
      <c r="CO123" s="36"/>
      <c r="CP123" s="36"/>
      <c r="CY123" s="67">
        <f>DC123</f>
        <v>0</v>
      </c>
      <c r="CZ123" s="68"/>
      <c r="DA123" s="68"/>
      <c r="DB123" s="69"/>
      <c r="DC123" s="29">
        <v>0</v>
      </c>
    </row>
    <row r="124" spans="27:107" ht="20.100000000000001" customHeight="1" thickTop="1">
      <c r="AA124" s="35"/>
      <c r="AB124" s="36"/>
      <c r="AC124" s="36"/>
      <c r="AD124" s="36"/>
      <c r="AE124" s="36"/>
      <c r="AF124" s="36"/>
      <c r="AG124" s="36"/>
      <c r="AH124" s="39"/>
      <c r="AI124" s="40"/>
      <c r="AJ124" s="40"/>
      <c r="AK124" s="40"/>
      <c r="AL124" s="40"/>
      <c r="AM124" s="40"/>
      <c r="AN124" s="40"/>
      <c r="AO124" s="40"/>
      <c r="AP124" s="40"/>
      <c r="AQ124" s="40"/>
      <c r="AR124" s="41"/>
      <c r="AS124" s="36"/>
      <c r="AT124" s="36"/>
      <c r="AU124" s="36"/>
      <c r="AV124" s="36"/>
      <c r="AW124" s="36"/>
      <c r="AX124" s="36"/>
      <c r="AY124" s="36"/>
      <c r="AZ124" s="36"/>
      <c r="BA124" s="36"/>
      <c r="BB124" s="37"/>
      <c r="BC124" s="36"/>
      <c r="BD124" s="36"/>
      <c r="BE124" s="36"/>
      <c r="BF124" s="36"/>
      <c r="BG124" s="36"/>
      <c r="BH124" s="36"/>
      <c r="BI124" s="39"/>
      <c r="BJ124" s="40"/>
      <c r="BK124" s="40"/>
      <c r="BL124" s="40"/>
      <c r="BM124" s="40"/>
      <c r="BN124" s="40"/>
      <c r="BO124" s="40"/>
      <c r="BP124" s="40"/>
      <c r="BQ124" s="40"/>
      <c r="BR124" s="40"/>
      <c r="BS124" s="41"/>
      <c r="BT124" s="36"/>
      <c r="BU124" s="36"/>
      <c r="BV124" s="36"/>
      <c r="BW124" s="36"/>
      <c r="BX124" s="37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6"/>
      <c r="CM124" s="36"/>
      <c r="CN124" s="36"/>
      <c r="CO124" s="36"/>
      <c r="CP124" s="36"/>
      <c r="CY124" s="13" t="s">
        <v>24</v>
      </c>
    </row>
    <row r="125" spans="27:107" ht="20.100000000000001" customHeight="1">
      <c r="AA125" s="35"/>
      <c r="AB125" s="36"/>
      <c r="AC125" s="36"/>
      <c r="AD125" s="36"/>
      <c r="AE125" s="36"/>
      <c r="AF125" s="36"/>
      <c r="AG125" s="36"/>
      <c r="AH125" s="42"/>
      <c r="AI125" s="43"/>
      <c r="AJ125" s="43"/>
      <c r="AK125" s="43"/>
      <c r="AL125" s="43"/>
      <c r="AM125" s="43"/>
      <c r="AN125" s="43"/>
      <c r="AO125" s="43"/>
      <c r="AP125" s="43"/>
      <c r="AQ125" s="43"/>
      <c r="AR125" s="44"/>
      <c r="AS125" s="36"/>
      <c r="AT125" s="36"/>
      <c r="AU125" s="36"/>
      <c r="AV125" s="36"/>
      <c r="AW125" s="36"/>
      <c r="AX125" s="36"/>
      <c r="AY125" s="36"/>
      <c r="AZ125" s="36"/>
      <c r="BA125" s="36"/>
      <c r="BB125" s="37"/>
      <c r="BC125" s="36"/>
      <c r="BD125" s="36"/>
      <c r="BE125" s="36"/>
      <c r="BF125" s="36"/>
      <c r="BG125" s="36"/>
      <c r="BH125" s="36"/>
      <c r="BI125" s="42"/>
      <c r="BJ125" s="43"/>
      <c r="BK125" s="43"/>
      <c r="BL125" s="43"/>
      <c r="BM125" s="43"/>
      <c r="BN125" s="43"/>
      <c r="BO125" s="43"/>
      <c r="BP125" s="43"/>
      <c r="BQ125" s="43"/>
      <c r="BR125" s="43"/>
      <c r="BS125" s="44"/>
      <c r="BT125" s="36"/>
      <c r="BU125" s="36"/>
      <c r="BV125" s="36"/>
      <c r="BW125" s="36"/>
      <c r="BX125" s="37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Y125" s="14" t="s">
        <v>25</v>
      </c>
    </row>
    <row r="126" spans="27:107" ht="20.100000000000001" customHeight="1">
      <c r="AA126" s="35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7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7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</row>
    <row r="127" spans="27:107" ht="20.100000000000001" customHeight="1">
      <c r="AA127" s="35"/>
      <c r="AB127" s="36"/>
      <c r="AC127" s="36"/>
      <c r="AD127" s="36"/>
      <c r="AE127" s="36"/>
      <c r="AF127" s="36"/>
      <c r="AG127" s="36"/>
      <c r="AH127" s="36" t="s">
        <v>53</v>
      </c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7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7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</row>
    <row r="128" spans="27:107" ht="20.100000000000001" customHeight="1" thickBot="1">
      <c r="AA128" s="35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7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7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</row>
    <row r="129" spans="5:107" ht="20.100000000000001" customHeight="1">
      <c r="AA129" s="32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4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4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Y129" s="11" t="s">
        <v>52</v>
      </c>
    </row>
    <row r="130" spans="5:107" ht="20.100000000000001" customHeight="1" thickBot="1">
      <c r="AA130" s="35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7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7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Y130" s="12" t="s">
        <v>4</v>
      </c>
    </row>
    <row r="131" spans="5:107" ht="20.100000000000001" customHeight="1" thickTop="1" thickBot="1">
      <c r="AA131" s="35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7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7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Y131" s="64">
        <f>DC131</f>
        <v>0</v>
      </c>
      <c r="CZ131" s="65"/>
      <c r="DA131" s="65"/>
      <c r="DB131" s="66"/>
      <c r="DC131" s="29">
        <f t="array" ref="DC131:DC132">TRANSPOSE(TotalUnitsAndWeightsSum(DECK1))</f>
        <v>0</v>
      </c>
    </row>
    <row r="132" spans="5:107" ht="20.100000000000001" customHeight="1" thickTop="1" thickBot="1">
      <c r="AA132" s="35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7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7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Y132" s="67">
        <f>DC132</f>
        <v>0</v>
      </c>
      <c r="CZ132" s="68"/>
      <c r="DA132" s="68"/>
      <c r="DB132" s="69"/>
      <c r="DC132" s="29">
        <v>0</v>
      </c>
    </row>
    <row r="133" spans="5:107" ht="20.100000000000001" customHeight="1" thickTop="1">
      <c r="AA133" s="35"/>
      <c r="AB133" s="36"/>
      <c r="AC133" s="36"/>
      <c r="AD133" s="36"/>
      <c r="AE133" s="36"/>
      <c r="AF133" s="36"/>
      <c r="AG133" s="36"/>
      <c r="AH133" s="39"/>
      <c r="AI133" s="40"/>
      <c r="AJ133" s="40"/>
      <c r="AK133" s="40"/>
      <c r="AL133" s="40"/>
      <c r="AM133" s="40"/>
      <c r="AN133" s="40"/>
      <c r="AO133" s="40"/>
      <c r="AP133" s="40"/>
      <c r="AQ133" s="40"/>
      <c r="AR133" s="41"/>
      <c r="AS133" s="36"/>
      <c r="AT133" s="36"/>
      <c r="AU133" s="36"/>
      <c r="AV133" s="36"/>
      <c r="AW133" s="36"/>
      <c r="AX133" s="36"/>
      <c r="AY133" s="36"/>
      <c r="AZ133" s="36"/>
      <c r="BA133" s="36"/>
      <c r="BB133" s="37"/>
      <c r="BC133" s="36"/>
      <c r="BD133" s="36"/>
      <c r="BE133" s="36"/>
      <c r="BF133" s="36"/>
      <c r="BG133" s="36"/>
      <c r="BH133" s="36"/>
      <c r="BI133" s="39"/>
      <c r="BJ133" s="40"/>
      <c r="BK133" s="40"/>
      <c r="BL133" s="40"/>
      <c r="BM133" s="40"/>
      <c r="BN133" s="40"/>
      <c r="BO133" s="40"/>
      <c r="BP133" s="40"/>
      <c r="BQ133" s="40"/>
      <c r="BR133" s="40"/>
      <c r="BS133" s="41"/>
      <c r="BT133" s="36"/>
      <c r="BU133" s="36"/>
      <c r="BV133" s="36"/>
      <c r="BW133" s="36"/>
      <c r="BX133" s="37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Y133" s="13" t="s">
        <v>21</v>
      </c>
    </row>
    <row r="134" spans="5:107" ht="20.100000000000001" customHeight="1">
      <c r="AA134" s="35"/>
      <c r="AB134" s="36"/>
      <c r="AC134" s="36"/>
      <c r="AD134" s="36"/>
      <c r="AE134" s="36"/>
      <c r="AF134" s="36"/>
      <c r="AG134" s="36"/>
      <c r="AH134" s="42"/>
      <c r="AI134" s="43"/>
      <c r="AJ134" s="43"/>
      <c r="AK134" s="43"/>
      <c r="AL134" s="43"/>
      <c r="AM134" s="43"/>
      <c r="AN134" s="43"/>
      <c r="AO134" s="43"/>
      <c r="AP134" s="43"/>
      <c r="AQ134" s="43"/>
      <c r="AR134" s="44"/>
      <c r="AS134" s="36"/>
      <c r="AT134" s="36"/>
      <c r="AU134" s="36"/>
      <c r="AV134" s="36"/>
      <c r="AW134" s="36"/>
      <c r="AX134" s="36"/>
      <c r="AY134" s="36"/>
      <c r="AZ134" s="36"/>
      <c r="BA134" s="36"/>
      <c r="BB134" s="37"/>
      <c r="BC134" s="36"/>
      <c r="BD134" s="36"/>
      <c r="BE134" s="36"/>
      <c r="BF134" s="36"/>
      <c r="BG134" s="36"/>
      <c r="BH134" s="36"/>
      <c r="BI134" s="42"/>
      <c r="BJ134" s="43"/>
      <c r="BK134" s="43"/>
      <c r="BL134" s="43"/>
      <c r="BM134" s="43"/>
      <c r="BN134" s="43"/>
      <c r="BO134" s="43"/>
      <c r="BP134" s="43"/>
      <c r="BQ134" s="43"/>
      <c r="BR134" s="43"/>
      <c r="BS134" s="44"/>
      <c r="BT134" s="36"/>
      <c r="BU134" s="36"/>
      <c r="BV134" s="36"/>
      <c r="BW134" s="36"/>
      <c r="BX134" s="37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Y134" s="14" t="s">
        <v>22</v>
      </c>
    </row>
    <row r="135" spans="5:107" ht="20.100000000000001" customHeight="1">
      <c r="AA135" s="35"/>
      <c r="AB135" s="36"/>
      <c r="AC135" s="36"/>
      <c r="AD135" s="36"/>
      <c r="AE135" s="36"/>
      <c r="AF135" s="36"/>
      <c r="AG135" s="36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6"/>
      <c r="AT135" s="36"/>
      <c r="AU135" s="36"/>
      <c r="AV135" s="36"/>
      <c r="AW135" s="36"/>
      <c r="AX135" s="36"/>
      <c r="AY135" s="36"/>
      <c r="AZ135" s="36"/>
      <c r="BA135" s="36"/>
      <c r="BB135" s="37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7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</row>
    <row r="136" spans="5:107" ht="20.100000000000001" customHeight="1" thickBot="1">
      <c r="AA136" s="35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7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7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</row>
    <row r="137" spans="5:107" ht="20.100000000000001" customHeight="1" thickTop="1" thickBot="1">
      <c r="AA137" s="45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7"/>
      <c r="BC137" s="46"/>
      <c r="BD137" s="46"/>
      <c r="BE137" s="46"/>
      <c r="BF137" s="46"/>
      <c r="BG137" s="46"/>
      <c r="BH137" s="46"/>
      <c r="BI137" s="46"/>
      <c r="BJ137" s="46"/>
      <c r="BK137" s="46"/>
      <c r="BL137" s="46"/>
      <c r="BM137" s="46"/>
      <c r="BN137" s="46"/>
      <c r="BO137" s="46"/>
      <c r="BP137" s="46"/>
      <c r="BQ137" s="46"/>
      <c r="BR137" s="46"/>
      <c r="BS137" s="46"/>
      <c r="BT137" s="46"/>
      <c r="BU137" s="46"/>
      <c r="BV137" s="46"/>
      <c r="BW137" s="46"/>
      <c r="BX137" s="47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T137" s="415" t="s">
        <v>56</v>
      </c>
      <c r="CU137" s="416"/>
      <c r="CV137" s="416"/>
      <c r="CW137" s="416"/>
      <c r="CX137" s="416"/>
      <c r="CY137" s="416"/>
      <c r="CZ137" s="416"/>
      <c r="DA137" s="416"/>
      <c r="DB137" s="417"/>
    </row>
    <row r="138" spans="5:107" ht="20.100000000000001" customHeight="1" thickTop="1" thickBot="1">
      <c r="CR138" s="2"/>
      <c r="CT138" s="406">
        <f>SUM(K140,AM140,BL140,CG140)</f>
        <v>2088</v>
      </c>
      <c r="CU138" s="407"/>
      <c r="CV138" s="407"/>
      <c r="CW138" s="407"/>
      <c r="CX138" s="407"/>
      <c r="CY138" s="407"/>
      <c r="CZ138" s="407"/>
      <c r="DA138" s="407"/>
      <c r="DB138" s="408"/>
    </row>
    <row r="139" spans="5:107" ht="20.100000000000001" customHeight="1" thickTop="1" thickBot="1">
      <c r="K139" s="395" t="s">
        <v>36</v>
      </c>
      <c r="L139" s="396"/>
      <c r="M139" s="396"/>
      <c r="N139" s="396"/>
      <c r="O139" s="397"/>
      <c r="AM139" s="395" t="s">
        <v>54</v>
      </c>
      <c r="AN139" s="396"/>
      <c r="AO139" s="396"/>
      <c r="AP139" s="396"/>
      <c r="AQ139" s="397"/>
      <c r="BL139" s="395" t="s">
        <v>39</v>
      </c>
      <c r="BM139" s="396"/>
      <c r="BN139" s="396"/>
      <c r="BO139" s="396"/>
      <c r="BP139" s="397"/>
      <c r="CG139" s="395" t="s">
        <v>55</v>
      </c>
      <c r="CH139" s="396"/>
      <c r="CI139" s="396"/>
      <c r="CJ139" s="396"/>
      <c r="CK139" s="397"/>
      <c r="CR139" s="5"/>
      <c r="CT139" s="409">
        <f>SUM(K141,AM141,BL141,CG141)</f>
        <v>3515.6240000000003</v>
      </c>
      <c r="CU139" s="410"/>
      <c r="CV139" s="410"/>
      <c r="CW139" s="410"/>
      <c r="CX139" s="410"/>
      <c r="CY139" s="410"/>
      <c r="CZ139" s="410"/>
      <c r="DA139" s="410"/>
      <c r="DB139" s="411"/>
    </row>
    <row r="140" spans="5:107" ht="20.100000000000001" customHeight="1" thickTop="1" thickBot="1">
      <c r="K140" s="398">
        <f>P140</f>
        <v>647</v>
      </c>
      <c r="L140" s="399"/>
      <c r="M140" s="399"/>
      <c r="N140" s="399"/>
      <c r="O140" s="400"/>
      <c r="P140" s="29">
        <f t="array" ref="P140:P141">TRANSPOSE(TotalUnitsAndWeightsSum(HOLD4))</f>
        <v>647</v>
      </c>
      <c r="AM140" s="398">
        <f>AR140</f>
        <v>646</v>
      </c>
      <c r="AN140" s="399"/>
      <c r="AO140" s="399"/>
      <c r="AP140" s="399"/>
      <c r="AQ140" s="400"/>
      <c r="AR140" s="29">
        <f t="array" ref="AR140:AR141">TRANSPOSE(TotalUnitsAndWeightsSum(HOLD3))</f>
        <v>646</v>
      </c>
      <c r="BL140" s="398">
        <f>BQ140</f>
        <v>453</v>
      </c>
      <c r="BM140" s="399"/>
      <c r="BN140" s="399"/>
      <c r="BO140" s="399"/>
      <c r="BP140" s="400"/>
      <c r="BQ140" s="29">
        <f t="array" ref="BQ140:BQ141">TRANSPOSE(TotalUnitsAndWeightsSum(HOLD2))</f>
        <v>453</v>
      </c>
      <c r="CG140" s="398">
        <f>CL140</f>
        <v>342</v>
      </c>
      <c r="CH140" s="399"/>
      <c r="CI140" s="399"/>
      <c r="CJ140" s="399"/>
      <c r="CK140" s="400"/>
      <c r="CL140" s="29">
        <f t="array" ref="CL140:CL141">TRANSPOSE(TotalUnitsAndWeightsSum(HOLD1))</f>
        <v>342</v>
      </c>
      <c r="CR140" s="6"/>
      <c r="CT140" s="412">
        <f>CS24</f>
        <v>0</v>
      </c>
      <c r="CU140" s="413"/>
      <c r="CV140" s="413"/>
      <c r="CW140" s="413"/>
      <c r="CX140" s="413"/>
      <c r="CY140" s="413"/>
      <c r="CZ140" s="413"/>
      <c r="DA140" s="413"/>
      <c r="DB140" s="414"/>
    </row>
    <row r="141" spans="5:107" ht="20.100000000000001" customHeight="1" thickTop="1" thickBot="1">
      <c r="E141" s="30"/>
      <c r="F141" s="30"/>
      <c r="G141" s="31"/>
      <c r="H141" s="30"/>
      <c r="K141" s="401">
        <f>P141</f>
        <v>1056.307</v>
      </c>
      <c r="L141" s="402"/>
      <c r="M141" s="402"/>
      <c r="N141" s="402"/>
      <c r="O141" s="403"/>
      <c r="P141" s="29">
        <v>1056.307</v>
      </c>
      <c r="V141" s="30"/>
      <c r="W141" s="30"/>
      <c r="X141" s="30"/>
      <c r="Y141" s="30"/>
      <c r="AM141" s="401">
        <f>AR141</f>
        <v>1098.4020000000003</v>
      </c>
      <c r="AN141" s="402"/>
      <c r="AO141" s="402"/>
      <c r="AP141" s="402"/>
      <c r="AQ141" s="403"/>
      <c r="AR141" s="29">
        <v>1098.4020000000003</v>
      </c>
      <c r="BL141" s="401">
        <f>BQ141</f>
        <v>781.30200000000002</v>
      </c>
      <c r="BM141" s="402"/>
      <c r="BN141" s="402"/>
      <c r="BO141" s="402"/>
      <c r="BP141" s="403"/>
      <c r="BQ141" s="29">
        <v>781.30200000000002</v>
      </c>
      <c r="CG141" s="401">
        <f>CL141</f>
        <v>579.61299999999994</v>
      </c>
      <c r="CH141" s="402"/>
      <c r="CI141" s="402"/>
      <c r="CJ141" s="402"/>
      <c r="CK141" s="403"/>
      <c r="CL141" s="29">
        <v>579.61299999999994</v>
      </c>
      <c r="CR141" s="6"/>
      <c r="CT141" s="409">
        <f>CX24</f>
        <v>0</v>
      </c>
      <c r="CU141" s="410"/>
      <c r="CV141" s="410"/>
      <c r="CW141" s="410"/>
      <c r="CX141" s="410"/>
      <c r="CY141" s="410"/>
      <c r="CZ141" s="410"/>
      <c r="DA141" s="410"/>
      <c r="DB141" s="411"/>
    </row>
    <row r="142" spans="5:107" ht="20.100000000000001" customHeight="1" thickTop="1"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5:107" ht="20.100000000000001" customHeight="1"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5:107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</sheetData>
  <mergeCells count="595">
    <mergeCell ref="G80:J80"/>
    <mergeCell ref="P77:R77"/>
    <mergeCell ref="S77:V77"/>
    <mergeCell ref="AC79:AE79"/>
    <mergeCell ref="AF79:AI79"/>
    <mergeCell ref="CC70:CE70"/>
    <mergeCell ref="CF70:CI70"/>
    <mergeCell ref="CN65:CP65"/>
    <mergeCell ref="CQ65:CT65"/>
    <mergeCell ref="AA74:AC74"/>
    <mergeCell ref="AA75:AD75"/>
    <mergeCell ref="G74:I74"/>
    <mergeCell ref="G75:J75"/>
    <mergeCell ref="G79:I79"/>
    <mergeCell ref="L68:O68"/>
    <mergeCell ref="AO70:AQ70"/>
    <mergeCell ref="AR70:AU70"/>
    <mergeCell ref="AG64:AI64"/>
    <mergeCell ref="AJ64:AM64"/>
    <mergeCell ref="AF67:AH67"/>
    <mergeCell ref="AI67:AL67"/>
    <mergeCell ref="BG70:BI70"/>
    <mergeCell ref="BJ70:BM70"/>
    <mergeCell ref="CI37:CK37"/>
    <mergeCell ref="CL37:CO37"/>
    <mergeCell ref="AB48:AF48"/>
    <mergeCell ref="AB49:AD49"/>
    <mergeCell ref="AB50:AE50"/>
    <mergeCell ref="L48:P48"/>
    <mergeCell ref="L49:N49"/>
    <mergeCell ref="L50:O50"/>
    <mergeCell ref="C48:G48"/>
    <mergeCell ref="C49:E49"/>
    <mergeCell ref="C50:F50"/>
    <mergeCell ref="BG48:BK48"/>
    <mergeCell ref="BG49:BI49"/>
    <mergeCell ref="BG50:BJ50"/>
    <mergeCell ref="BU47:BW47"/>
    <mergeCell ref="BU48:BW48"/>
    <mergeCell ref="BZ47:CB47"/>
    <mergeCell ref="CC47:CF47"/>
    <mergeCell ref="CA50:CE50"/>
    <mergeCell ref="AM40:AO40"/>
    <mergeCell ref="AP40:AR40"/>
    <mergeCell ref="BH43:BJ43"/>
    <mergeCell ref="BI38:BK38"/>
    <mergeCell ref="BZ38:CB38"/>
    <mergeCell ref="BZ39:CC39"/>
    <mergeCell ref="BK43:BN43"/>
    <mergeCell ref="BL38:BO38"/>
    <mergeCell ref="BY43:CA43"/>
    <mergeCell ref="CB43:CE43"/>
    <mergeCell ref="C39:G39"/>
    <mergeCell ref="D40:F40"/>
    <mergeCell ref="D41:G41"/>
    <mergeCell ref="Q38:U38"/>
    <mergeCell ref="Q39:S39"/>
    <mergeCell ref="Q40:T40"/>
    <mergeCell ref="AA36:AC36"/>
    <mergeCell ref="AA37:AC37"/>
    <mergeCell ref="AA38:AC38"/>
    <mergeCell ref="AA39:AD39"/>
    <mergeCell ref="CG3:CO3"/>
    <mergeCell ref="AY29:BA29"/>
    <mergeCell ref="AY30:BA30"/>
    <mergeCell ref="BJ30:BL30"/>
    <mergeCell ref="AX28:BB28"/>
    <mergeCell ref="BJ29:BN29"/>
    <mergeCell ref="BJ31:BM31"/>
    <mergeCell ref="H30:J30"/>
    <mergeCell ref="I29:M29"/>
    <mergeCell ref="V31:X31"/>
    <mergeCell ref="AB31:AD31"/>
    <mergeCell ref="K30:N30"/>
    <mergeCell ref="V30:Z30"/>
    <mergeCell ref="V32:Y32"/>
    <mergeCell ref="AB30:AF30"/>
    <mergeCell ref="AB32:AE32"/>
    <mergeCell ref="CX24:DB24"/>
    <mergeCell ref="CI23:DB23"/>
    <mergeCell ref="CI6:CR6"/>
    <mergeCell ref="CS6:DB6"/>
    <mergeCell ref="CS10:CW10"/>
    <mergeCell ref="CX10:DB10"/>
    <mergeCell ref="AH106:AR107"/>
    <mergeCell ref="BU3:CB3"/>
    <mergeCell ref="BU2:BY2"/>
    <mergeCell ref="AU16:AY16"/>
    <mergeCell ref="AU21:AY21"/>
    <mergeCell ref="AU17:AY17"/>
    <mergeCell ref="AU9:AY9"/>
    <mergeCell ref="AU20:AY20"/>
    <mergeCell ref="AU15:AY15"/>
    <mergeCell ref="AU19:AY19"/>
    <mergeCell ref="AU14:AY14"/>
    <mergeCell ref="CX13:DB13"/>
    <mergeCell ref="CI13:CM13"/>
    <mergeCell ref="CN13:CR13"/>
    <mergeCell ref="CS19:CW19"/>
    <mergeCell ref="CX19:DB19"/>
    <mergeCell ref="CI8:CM8"/>
    <mergeCell ref="CN8:CR8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K139:O139"/>
    <mergeCell ref="K140:O140"/>
    <mergeCell ref="AC93:AN95"/>
    <mergeCell ref="BH93:BS95"/>
    <mergeCell ref="K141:O141"/>
    <mergeCell ref="J72:N72"/>
    <mergeCell ref="G72:I72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2:AY22"/>
    <mergeCell ref="AU13:AY13"/>
    <mergeCell ref="AZ22:BD22"/>
    <mergeCell ref="AZ13:BD13"/>
    <mergeCell ref="AU12:AY12"/>
    <mergeCell ref="AU10:AY10"/>
    <mergeCell ref="AU18:AY18"/>
    <mergeCell ref="AU11:AY11"/>
    <mergeCell ref="Y100:Z101"/>
    <mergeCell ref="CS8:CW8"/>
    <mergeCell ref="CX15:DB15"/>
    <mergeCell ref="CI15:CM15"/>
    <mergeCell ref="CN15:CR15"/>
    <mergeCell ref="CS14:CW14"/>
    <mergeCell ref="CX18:DB18"/>
    <mergeCell ref="CS11:CW11"/>
    <mergeCell ref="CX11:DB11"/>
    <mergeCell ref="CS16:CW16"/>
    <mergeCell ref="CX16:DB16"/>
    <mergeCell ref="CS9:CW9"/>
    <mergeCell ref="CX9:DB9"/>
    <mergeCell ref="CI11:CM11"/>
    <mergeCell ref="CN11:CR11"/>
    <mergeCell ref="CI16:CM16"/>
    <mergeCell ref="CN16:CR16"/>
    <mergeCell ref="CI12:CM12"/>
    <mergeCell ref="CN12:CR12"/>
    <mergeCell ref="CN14:CR14"/>
    <mergeCell ref="CI20:CM20"/>
    <mergeCell ref="CN20:CR20"/>
    <mergeCell ref="CI18:CM18"/>
    <mergeCell ref="CN18:CR18"/>
    <mergeCell ref="CS21:CW21"/>
    <mergeCell ref="CX22:DB22"/>
    <mergeCell ref="CI21:CM21"/>
    <mergeCell ref="CN21:CR21"/>
    <mergeCell ref="CS17:CW17"/>
    <mergeCell ref="CX17:DB17"/>
    <mergeCell ref="CI10:CM10"/>
    <mergeCell ref="CN10:CR10"/>
    <mergeCell ref="CX20:DB20"/>
    <mergeCell ref="CI17:CM17"/>
    <mergeCell ref="CN17:CR17"/>
    <mergeCell ref="CS20:CW20"/>
    <mergeCell ref="CD21:CH21"/>
    <mergeCell ref="CD18:CH18"/>
    <mergeCell ref="CD17:CH17"/>
    <mergeCell ref="CX21:DB21"/>
    <mergeCell ref="CX14:DB14"/>
    <mergeCell ref="CS12:CW12"/>
    <mergeCell ref="CX12:DB12"/>
    <mergeCell ref="CD3:CF3"/>
    <mergeCell ref="CI9:CM9"/>
    <mergeCell ref="CN9:CR9"/>
    <mergeCell ref="CS18:CW18"/>
    <mergeCell ref="CD20:CH20"/>
    <mergeCell ref="CD15:CH15"/>
    <mergeCell ref="CD19:CH19"/>
    <mergeCell ref="CD14:CH14"/>
    <mergeCell ref="CD12:CH12"/>
    <mergeCell ref="CD10:CH10"/>
    <mergeCell ref="CD9:CH9"/>
    <mergeCell ref="CD11:CH11"/>
    <mergeCell ref="CD16:CH16"/>
    <mergeCell ref="CS15:CW15"/>
    <mergeCell ref="CI19:CM19"/>
    <mergeCell ref="CN19:CR19"/>
    <mergeCell ref="CI14:CM14"/>
    <mergeCell ref="BY21:CC21"/>
    <mergeCell ref="BJ10:BN10"/>
    <mergeCell ref="BJ18:BN18"/>
    <mergeCell ref="BJ11:BN11"/>
    <mergeCell ref="BT11:BX11"/>
    <mergeCell ref="BT16:BX16"/>
    <mergeCell ref="BT21:BX21"/>
    <mergeCell ref="BT18:BX18"/>
    <mergeCell ref="BO18:BS18"/>
    <mergeCell ref="BO11:BS11"/>
    <mergeCell ref="BO16:BS16"/>
    <mergeCell ref="BO21:BS21"/>
    <mergeCell ref="BJ16:BN16"/>
    <mergeCell ref="BJ21:BN21"/>
    <mergeCell ref="BY9:CC9"/>
    <mergeCell ref="BT20:BX20"/>
    <mergeCell ref="BT15:BX15"/>
    <mergeCell ref="BT19:BX19"/>
    <mergeCell ref="BT14:BX14"/>
    <mergeCell ref="BT12:BX12"/>
    <mergeCell ref="BT10:BX10"/>
    <mergeCell ref="BY12:CC12"/>
    <mergeCell ref="BY10:CC10"/>
    <mergeCell ref="BY20:CC20"/>
    <mergeCell ref="BY17:CC17"/>
    <mergeCell ref="BY15:CC15"/>
    <mergeCell ref="BY19:CC19"/>
    <mergeCell ref="BY14:CC14"/>
    <mergeCell ref="BY18:CC18"/>
    <mergeCell ref="BY11:CC11"/>
    <mergeCell ref="BY16:CC16"/>
    <mergeCell ref="BO12:BS12"/>
    <mergeCell ref="BO10:BS10"/>
    <mergeCell ref="BO17:BS17"/>
    <mergeCell ref="BT17:BX17"/>
    <mergeCell ref="BO9:BS9"/>
    <mergeCell ref="BO20:BS20"/>
    <mergeCell ref="BO15:BS15"/>
    <mergeCell ref="BO19:BS19"/>
    <mergeCell ref="BO14:BS14"/>
    <mergeCell ref="BT9:BX9"/>
    <mergeCell ref="BJ22:BN22"/>
    <mergeCell ref="BJ13:BN13"/>
    <mergeCell ref="BE18:BI18"/>
    <mergeCell ref="BE9:BI9"/>
    <mergeCell ref="BE20:BI20"/>
    <mergeCell ref="BE15:BI15"/>
    <mergeCell ref="BJ9:BN9"/>
    <mergeCell ref="BJ20:BN20"/>
    <mergeCell ref="BJ15:BN15"/>
    <mergeCell ref="BE17:BI17"/>
    <mergeCell ref="BJ17:BN17"/>
    <mergeCell ref="BE19:BI19"/>
    <mergeCell ref="BE14:BI14"/>
    <mergeCell ref="BE12:BI12"/>
    <mergeCell ref="BE10:BI10"/>
    <mergeCell ref="BJ19:BN19"/>
    <mergeCell ref="BJ14:BN14"/>
    <mergeCell ref="BJ12:BN12"/>
    <mergeCell ref="BE22:BI22"/>
    <mergeCell ref="AZ21:BD21"/>
    <mergeCell ref="AZ17:BD17"/>
    <mergeCell ref="AZ9:BD9"/>
    <mergeCell ref="AZ20:BD20"/>
    <mergeCell ref="AZ15:BD15"/>
    <mergeCell ref="AZ19:BD19"/>
    <mergeCell ref="AZ14:BD14"/>
    <mergeCell ref="BE11:BI11"/>
    <mergeCell ref="BE16:BI16"/>
    <mergeCell ref="BE21:BI21"/>
    <mergeCell ref="AZ12:BD12"/>
    <mergeCell ref="AZ10:BD10"/>
    <mergeCell ref="AZ18:BD18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CI5:DB5"/>
    <mergeCell ref="B7:M7"/>
    <mergeCell ref="N7:P7"/>
    <mergeCell ref="B5:P6"/>
    <mergeCell ref="B17:M17"/>
    <mergeCell ref="B9:M9"/>
    <mergeCell ref="B20:M20"/>
    <mergeCell ref="AU5:BD6"/>
    <mergeCell ref="AU7:AY7"/>
    <mergeCell ref="AZ7:BD7"/>
    <mergeCell ref="AZ11:BD11"/>
    <mergeCell ref="AZ16:BD16"/>
    <mergeCell ref="N9:P9"/>
    <mergeCell ref="N20:P20"/>
    <mergeCell ref="N15:P15"/>
    <mergeCell ref="N19:P19"/>
    <mergeCell ref="N14:P14"/>
    <mergeCell ref="N12:P12"/>
    <mergeCell ref="N10:P10"/>
    <mergeCell ref="N18:P18"/>
    <mergeCell ref="N17:P17"/>
    <mergeCell ref="Q11:S11"/>
    <mergeCell ref="Q16:S16"/>
    <mergeCell ref="AO20:AQ20"/>
    <mergeCell ref="AR20:AT20"/>
    <mergeCell ref="CY29:DB29"/>
    <mergeCell ref="DC63:DE63"/>
    <mergeCell ref="DC81:DE81"/>
    <mergeCell ref="CY30:DB30"/>
    <mergeCell ref="CY63:DB63"/>
    <mergeCell ref="AL57:AV58"/>
    <mergeCell ref="AO74:AV74"/>
    <mergeCell ref="AF74:AN75"/>
    <mergeCell ref="BY66:CJ67"/>
    <mergeCell ref="BH75:BX76"/>
    <mergeCell ref="BY75:CA76"/>
    <mergeCell ref="CY57:DB57"/>
    <mergeCell ref="CY67:DB67"/>
    <mergeCell ref="CY47:DB47"/>
    <mergeCell ref="CY48:DB48"/>
    <mergeCell ref="CY56:DB56"/>
    <mergeCell ref="AE43:AG43"/>
    <mergeCell ref="AH43:AK43"/>
    <mergeCell ref="AN39:AR39"/>
    <mergeCell ref="AL2:BM3"/>
    <mergeCell ref="BE7:BI7"/>
    <mergeCell ref="BJ7:BN7"/>
    <mergeCell ref="Q19:S19"/>
    <mergeCell ref="Q14:S14"/>
    <mergeCell ref="Q12:S12"/>
    <mergeCell ref="Q10:S10"/>
    <mergeCell ref="B22:M22"/>
    <mergeCell ref="B13:M13"/>
    <mergeCell ref="N11:P11"/>
    <mergeCell ref="N16:P16"/>
    <mergeCell ref="N21:P21"/>
    <mergeCell ref="N22:P22"/>
    <mergeCell ref="N13:P13"/>
    <mergeCell ref="B15:M15"/>
    <mergeCell ref="B19:M19"/>
    <mergeCell ref="B14:M14"/>
    <mergeCell ref="B12:M12"/>
    <mergeCell ref="B10:M10"/>
    <mergeCell ref="B18:M18"/>
    <mergeCell ref="B11:M11"/>
    <mergeCell ref="B16:M16"/>
    <mergeCell ref="B21:M21"/>
    <mergeCell ref="Q18:S18"/>
    <mergeCell ref="Q21:S21"/>
    <mergeCell ref="Q22:S22"/>
    <mergeCell ref="Q13:S13"/>
    <mergeCell ref="T9:V9"/>
    <mergeCell ref="W9:Y9"/>
    <mergeCell ref="T15:V15"/>
    <mergeCell ref="W15:Y15"/>
    <mergeCell ref="T14:V14"/>
    <mergeCell ref="W14:Y14"/>
    <mergeCell ref="T10:V10"/>
    <mergeCell ref="W10:Y10"/>
    <mergeCell ref="T11:V11"/>
    <mergeCell ref="W11:Y11"/>
    <mergeCell ref="T21:V21"/>
    <mergeCell ref="W21:Y21"/>
    <mergeCell ref="T13:V13"/>
    <mergeCell ref="W13:Y13"/>
    <mergeCell ref="Q17:S17"/>
    <mergeCell ref="T22:V22"/>
    <mergeCell ref="Q9:S9"/>
    <mergeCell ref="Q20:S20"/>
    <mergeCell ref="Q15:S15"/>
    <mergeCell ref="T19:V19"/>
    <mergeCell ref="T17:V17"/>
    <mergeCell ref="W17:Y17"/>
    <mergeCell ref="Z17:AB17"/>
    <mergeCell ref="AC17:AE17"/>
    <mergeCell ref="AF17:AH17"/>
    <mergeCell ref="AI17:AK17"/>
    <mergeCell ref="AL17:AN17"/>
    <mergeCell ref="AO17:AQ17"/>
    <mergeCell ref="AR17:AT17"/>
    <mergeCell ref="W19:Y19"/>
    <mergeCell ref="AF19:AH19"/>
    <mergeCell ref="AI19:AK19"/>
    <mergeCell ref="AL19:AN19"/>
    <mergeCell ref="AO19:AQ19"/>
    <mergeCell ref="AR19:AT19"/>
    <mergeCell ref="Z19:AB19"/>
    <mergeCell ref="AC19:AE19"/>
    <mergeCell ref="T20:V20"/>
    <mergeCell ref="W20:Y20"/>
    <mergeCell ref="Z20:AB20"/>
    <mergeCell ref="AC20:AE20"/>
    <mergeCell ref="AF20:AH20"/>
    <mergeCell ref="AI20:AK20"/>
    <mergeCell ref="AL20:AN20"/>
    <mergeCell ref="AR14:AT14"/>
    <mergeCell ref="Z9:AB9"/>
    <mergeCell ref="AC9:AE9"/>
    <mergeCell ref="AF9:AH9"/>
    <mergeCell ref="AI9:AK9"/>
    <mergeCell ref="AL9:AN9"/>
    <mergeCell ref="AO9:AQ9"/>
    <mergeCell ref="AR9:AT9"/>
    <mergeCell ref="Z15:AB15"/>
    <mergeCell ref="AC15:AE15"/>
    <mergeCell ref="AF15:AH15"/>
    <mergeCell ref="AI15:AK15"/>
    <mergeCell ref="AL15:AN15"/>
    <mergeCell ref="AO15:AQ15"/>
    <mergeCell ref="AR15:AT15"/>
    <mergeCell ref="AR12:AT12"/>
    <mergeCell ref="T12:V12"/>
    <mergeCell ref="W12:Y12"/>
    <mergeCell ref="Z12:AB12"/>
    <mergeCell ref="AC12:AE12"/>
    <mergeCell ref="AF12:AH12"/>
    <mergeCell ref="AI12:AK12"/>
    <mergeCell ref="AL12:AN12"/>
    <mergeCell ref="AO12:AQ12"/>
    <mergeCell ref="Z14:AB14"/>
    <mergeCell ref="AC14:AE14"/>
    <mergeCell ref="AF14:AH14"/>
    <mergeCell ref="AI14:AK14"/>
    <mergeCell ref="AL14:AN14"/>
    <mergeCell ref="AO14:AQ14"/>
    <mergeCell ref="T18:V18"/>
    <mergeCell ref="W18:Y18"/>
    <mergeCell ref="Z18:AB18"/>
    <mergeCell ref="AC18:AE18"/>
    <mergeCell ref="AF18:AH18"/>
    <mergeCell ref="AI18:AK18"/>
    <mergeCell ref="AL18:AN18"/>
    <mergeCell ref="AO18:AQ18"/>
    <mergeCell ref="AR18:AT18"/>
    <mergeCell ref="AR16:AT16"/>
    <mergeCell ref="Z11:AB11"/>
    <mergeCell ref="AC11:AE11"/>
    <mergeCell ref="AF11:AH11"/>
    <mergeCell ref="AI11:AK11"/>
    <mergeCell ref="AL11:AN11"/>
    <mergeCell ref="AO11:AQ11"/>
    <mergeCell ref="Z10:AB10"/>
    <mergeCell ref="AC10:AE10"/>
    <mergeCell ref="AF10:AH10"/>
    <mergeCell ref="AI10:AK10"/>
    <mergeCell ref="AL10:AN10"/>
    <mergeCell ref="AO10:AQ10"/>
    <mergeCell ref="AR10:AT10"/>
    <mergeCell ref="T23:V23"/>
    <mergeCell ref="W23:Y23"/>
    <mergeCell ref="Z23:AB23"/>
    <mergeCell ref="AC23:AE23"/>
    <mergeCell ref="AF23:AH23"/>
    <mergeCell ref="AI23:AK23"/>
    <mergeCell ref="AL23:AN23"/>
    <mergeCell ref="AO23:AQ23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AR11:AT11"/>
    <mergeCell ref="T16:V16"/>
    <mergeCell ref="W16:Y16"/>
    <mergeCell ref="Z16:AB16"/>
    <mergeCell ref="AC16:AE16"/>
    <mergeCell ref="BI106:BS107"/>
    <mergeCell ref="AR21:AT21"/>
    <mergeCell ref="AR22:AT22"/>
    <mergeCell ref="Z13:AB13"/>
    <mergeCell ref="AC13:AE13"/>
    <mergeCell ref="AF13:AH13"/>
    <mergeCell ref="AI13:AK13"/>
    <mergeCell ref="AL13:AN13"/>
    <mergeCell ref="AO13:AQ13"/>
    <mergeCell ref="AR13:AT13"/>
    <mergeCell ref="AI22:AK22"/>
    <mergeCell ref="AL22:AN22"/>
    <mergeCell ref="AO22:AQ22"/>
    <mergeCell ref="Z21:AB21"/>
    <mergeCell ref="AC21:AE21"/>
    <mergeCell ref="AF21:AH21"/>
    <mergeCell ref="AI21:AK21"/>
    <mergeCell ref="AL21:AN21"/>
    <mergeCell ref="AO21:AQ21"/>
    <mergeCell ref="AR23:AT23"/>
    <mergeCell ref="B26:Z26"/>
    <mergeCell ref="J90:P91"/>
    <mergeCell ref="AO85:AV85"/>
    <mergeCell ref="AA90:AK9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Y114:DB114"/>
    <mergeCell ref="CY122:DB122"/>
    <mergeCell ref="CY113:DB113"/>
    <mergeCell ref="AA101:AI101"/>
    <mergeCell ref="CG48:CR49"/>
    <mergeCell ref="AN66:AV66"/>
    <mergeCell ref="V101:X101"/>
    <mergeCell ref="T90:Z90"/>
    <mergeCell ref="J63:N63"/>
    <mergeCell ref="J54:N54"/>
    <mergeCell ref="J81:N81"/>
    <mergeCell ref="J45:N45"/>
    <mergeCell ref="CA51:CC51"/>
    <mergeCell ref="CA52:CD52"/>
    <mergeCell ref="H57:L57"/>
    <mergeCell ref="H58:J58"/>
    <mergeCell ref="K58:N58"/>
    <mergeCell ref="AD57:AH57"/>
    <mergeCell ref="AD58:AF58"/>
    <mergeCell ref="AG58:AJ58"/>
    <mergeCell ref="BI57:BM57"/>
    <mergeCell ref="BI58:BK58"/>
    <mergeCell ref="BL58:BO58"/>
    <mergeCell ref="CL57:CP57"/>
    <mergeCell ref="CL58:CN58"/>
    <mergeCell ref="CO58:CR58"/>
    <mergeCell ref="I68:K68"/>
    <mergeCell ref="B8:M8"/>
    <mergeCell ref="N8:P8"/>
    <mergeCell ref="Q8:S8"/>
    <mergeCell ref="T8:V8"/>
    <mergeCell ref="W8:Y8"/>
    <mergeCell ref="Z8:AB8"/>
    <mergeCell ref="AC8:AE8"/>
    <mergeCell ref="AF8:AH8"/>
    <mergeCell ref="AI8:AK8"/>
    <mergeCell ref="AA26:BB26"/>
    <mergeCell ref="BE13:BI13"/>
    <mergeCell ref="BY8:CC8"/>
    <mergeCell ref="CD8:CH8"/>
    <mergeCell ref="BT22:BX22"/>
    <mergeCell ref="BT13:BX13"/>
    <mergeCell ref="AC22:AE22"/>
    <mergeCell ref="CX8:DB8"/>
    <mergeCell ref="AL8:AN8"/>
    <mergeCell ref="AO8:AQ8"/>
    <mergeCell ref="AR8:AT8"/>
    <mergeCell ref="AU8:AY8"/>
    <mergeCell ref="AZ8:BD8"/>
    <mergeCell ref="BE8:BI8"/>
    <mergeCell ref="BJ8:BN8"/>
    <mergeCell ref="BO8:BS8"/>
    <mergeCell ref="BT8:BX8"/>
    <mergeCell ref="CI22:CM22"/>
    <mergeCell ref="CN22:CR22"/>
    <mergeCell ref="CS13:CW13"/>
    <mergeCell ref="AF16:AH16"/>
    <mergeCell ref="AI16:AK16"/>
    <mergeCell ref="AL16:AN16"/>
    <mergeCell ref="AO16:AQ16"/>
    <mergeCell ref="J36:N36"/>
    <mergeCell ref="AP24:AT24"/>
    <mergeCell ref="W22:Y22"/>
    <mergeCell ref="Z22:AB22"/>
    <mergeCell ref="CY38:DB38"/>
    <mergeCell ref="CY39:DB39"/>
    <mergeCell ref="B23:P23"/>
    <mergeCell ref="Q23:S23"/>
    <mergeCell ref="BO22:BS22"/>
    <mergeCell ref="BO13:BS13"/>
    <mergeCell ref="BY23:CC23"/>
    <mergeCell ref="AF22:AH22"/>
    <mergeCell ref="BC26:BX26"/>
    <mergeCell ref="BY26:CW26"/>
    <mergeCell ref="CD23:CH23"/>
    <mergeCell ref="CD22:CH22"/>
    <mergeCell ref="CD13:CH13"/>
    <mergeCell ref="BY22:CC22"/>
    <mergeCell ref="BY13:CC13"/>
    <mergeCell ref="CS22:CW22"/>
    <mergeCell ref="CI24:CM24"/>
    <mergeCell ref="CN24:CR24"/>
    <mergeCell ref="CS24:CW24"/>
  </mergeCells>
  <pageMargins left="0.08" right="0.01" top="0.05" bottom="0.08" header="0.03" footer="0.1"/>
  <pageSetup paperSize="8" scale="46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Plan.CalculateUnitsAndWeights" imageMso="Calculator"/>
          <button id="UnloadPortsButton" label="Clear Ports" size="large" onAction="CargoPlan.UnloadSelectedPorts" imageMso="AddInsMenu"/>
          <button id="PreArrivalButton" label="Pre-Arrival" size="large" onAction="CargoPlan.PreArrivalPort" imageMso="DataSubmitToOfficeServer"/>
        </group>
        <group id="DrawingPlanGroup" label="Drawings">
          <button id="AddCargoTextBox" label="Cargo Text Box" size="large" onAction="CargoBox.AddCargoTextBox" imageMso="TextBoxWordClassic"/>
        </group>
        <group id="PortsArrangementGroup" label="Ports Arrangement">
          <button id="MoveRowUpButton" label="Move Row Up" size="normal" onAction="TableArrangement.MoveTableRowUp" imageMso="ShapeUpArrow"/>
          <button id="MoveRowDownButton" label="Move Row Down" size="normal" onAction="TableArrangement.MoveTableRowDown" imageMso="ShapeDownA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StowagePlan!Print_Area</vt:lpstr>
      <vt:lpstr>UPPER_DECK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user</cp:lastModifiedBy>
  <cp:lastPrinted>2020-10-10T02:01:51Z</cp:lastPrinted>
  <dcterms:created xsi:type="dcterms:W3CDTF">2015-10-05T22:40:48Z</dcterms:created>
  <dcterms:modified xsi:type="dcterms:W3CDTF">2020-10-10T02:49:14Z</dcterms:modified>
</cp:coreProperties>
</file>